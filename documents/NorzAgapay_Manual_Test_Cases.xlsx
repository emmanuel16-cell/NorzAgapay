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01183b169d4997" /></Relationships>
</file>

<file path=xl/workbook.xml><?xml version="1.0" encoding="utf-8"?>
<x:workbook xmlns:x="http://schemas.openxmlformats.org/spreadsheetml/2006/main">
  <x:sheets>
    <x:sheet xmlns:r="http://schemas.openxmlformats.org/officeDocument/2006/relationships" name="Manual Test Cases" sheetId="1" r:id="R8b01b7b823e24fb1"/>
    <x:sheet xmlns:r="http://schemas.openxmlformats.org/officeDocument/2006/relationships" name="Run Guide" sheetId="2" r:id="R7f4d0a8b929e46f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sz val="10"/>
      <x:color rgb="FF202124"/>
      <x:name val="Arial"/>
    </x:font>
    <x:font>
      <x:b/>
      <x:sz val="15"/>
      <x:color rgb="FF235D29"/>
      <x:name val="Arial"/>
    </x:font>
    <x:font>
      <x:b/>
      <x:sz val="10"/>
      <x:color rgb="FF263B27"/>
      <x:name val="Arial"/>
    </x:font>
    <x:font>
      <x:b/>
      <x:sz val="10"/>
      <x:color rgb="FFFFFFFF"/>
      <x:name val="Arial"/>
    </x:font>
    <x:font>
      <x:b/>
      <x:sz val="12"/>
      <x:color rgb="FF234F26"/>
      <x:name val="Arial"/>
    </x:font>
    <x:font>
      <x:b/>
      <x:sz val="10"/>
      <x:color rgb="FF234F26"/>
      <x:name val="Arial"/>
    </x:font>
    <x:font>
      <x:i/>
      <x:sz val="9"/>
      <x:color rgb="FF475569"/>
      <x:name val="Arial"/>
    </x:font>
    <x:font>
      <x:b/>
      <x:sz val="10"/>
      <x:color rgb="FF285C2B"/>
      <x:name val="Arial"/>
    </x:font>
  </x:fonts>
  <x:fills count="7">
    <x:fill>
      <x:patternFill patternType="none"/>
    </x:fill>
    <x:fill>
      <x:patternFill patternType="gray125"/>
    </x:fill>
    <x:fill>
      <x:patternFill patternType="solid">
        <x:fgColor rgb="FFFFF2CC"/>
      </x:patternFill>
    </x:fill>
    <x:fill>
      <x:patternFill patternType="solid">
        <x:fgColor rgb="FF347A31"/>
      </x:patternFill>
    </x:fill>
    <x:fill>
      <x:patternFill patternType="solid">
        <x:fgColor rgb="FFE5F0E2"/>
      </x:patternFill>
    </x:fill>
    <x:fill>
      <x:patternFill patternType="solid">
        <x:fgColor rgb="FFFFF8E6"/>
      </x:patternFill>
    </x:fill>
    <x:fill>
      <x:patternFill patternType="solid">
        <x:fgColor rgb="FFF1F3F1"/>
      </x:patternFill>
    </x:fill>
  </x:fills>
  <x:borders count="5">
    <x:border>
      <x:left/>
      <x:right/>
      <x:top/>
      <x:bottom/>
      <x:diagonal/>
    </x:border>
    <x:border>
      <x:left/>
      <x:right/>
      <x:top/>
      <x:bottom style="medium">
        <x:color rgb="FF6C9C64"/>
      </x:bottom>
      <x:diagonal/>
    </x:border>
    <x:border>
      <x:left/>
      <x:right/>
      <x:top/>
      <x:bottom style="thin">
        <x:color rgb="FFD7DED5"/>
      </x:bottom>
      <x:diagonal/>
    </x:border>
    <x:border>
      <x:left style="thin">
        <x:color rgb="FFB8C2B5"/>
      </x:left>
      <x:right style="thin">
        <x:color rgb="FFB8C2B5"/>
      </x:right>
      <x:top style="thin">
        <x:color rgb="FFB8C2B5"/>
      </x:top>
      <x:bottom style="thin">
        <x:color rgb="FFB8C2B5"/>
      </x:bottom>
      <x:diagonal/>
    </x:border>
    <x:border>
      <x:left style="thin">
        <x:color rgb="FFD3D9D0"/>
      </x:left>
      <x:right style="thin">
        <x:color rgb="FFD3D9D0"/>
      </x:right>
      <x:top style="thin">
        <x:color rgb="FFD3D9D0"/>
      </x:top>
      <x:bottom style="thin">
        <x:color rgb="FFD3D9D0"/>
      </x:bottom>
      <x:diagonal/>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0" borderId="2" xfId="0" applyNumberFormat="1" applyFont="1" applyFill="1" applyBorder="1" applyAlignment="1">
      <x:alignment vertical="center"/>
    </x:xf>
    <x:xf numFmtId="0" fontId="1" fillId="2" borderId="2" xfId="0" applyNumberFormat="1" applyFont="1" applyFill="1" applyBorder="1" applyAlignment="1">
      <x:alignment vertical="center"/>
    </x:xf>
    <x:xf numFmtId="0" fontId="3" fillId="0" borderId="2"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horizontal="center" vertical="center"/>
    </x:xf>
    <x:xf numFmtId="0" fontId="6"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4" borderId="0" xfId="0" applyNumberFormat="1" applyFont="1" applyFill="1" applyBorder="1" applyAlignment="1">
      <x:alignment vertical="center"/>
    </x:xf>
    <x:xf numFmtId="200" fontId="1" fillId="4" borderId="0" xfId="0" applyNumberFormat="1" applyFont="1" applyFill="1" applyBorder="1" applyAlignment="1">
      <x:alignment horizontal="center" vertical="center"/>
    </x:xf>
    <x:xf numFmtId="0" fontId="7" fillId="0"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1" fillId="0" borderId="3" xfId="0" applyNumberFormat="1" applyFont="1" applyFill="1" applyBorder="1" applyAlignment="1">
      <x:alignment vertical="center" wrapText="1"/>
    </x:xf>
    <x:xf numFmtId="0" fontId="1" fillId="0" borderId="3" xfId="0" applyNumberFormat="1" applyFont="1" applyFill="1" applyBorder="1" applyAlignment="1">
      <x:alignment horizontal="center" vertical="center" wrapText="1"/>
    </x:xf>
    <x:xf numFmtId="0" fontId="1" fillId="5" borderId="3" xfId="0" applyNumberFormat="1" applyFont="1" applyFill="1" applyBorder="1" applyAlignment="1">
      <x:alignment vertical="center" wrapText="1"/>
    </x:xf>
    <x:xf numFmtId="0" fontId="1" fillId="2" borderId="3" xfId="0" applyNumberFormat="1" applyFont="1" applyFill="1" applyBorder="1" applyAlignment="1">
      <x:alignment horizontal="center" vertical="center" wrapText="1"/>
    </x:xf>
    <x:xf numFmtId="0" fontId="1" fillId="6" borderId="3" xfId="0" applyNumberFormat="1" applyFont="1" applyFill="1" applyBorder="1" applyAlignment="1">
      <x:alignment horizontal="center" vertical="center" wrapText="1"/>
    </x:xf>
    <x:xf numFmtId="0" fontId="1" fillId="6" borderId="3" xfId="0" applyNumberFormat="1" applyFont="1" applyFill="1" applyBorder="1" applyAlignment="1">
      <x:alignment vertical="center" wrapText="1"/>
    </x:xf>
    <x:xf numFmtId="0" fontId="2" fillId="0" borderId="0" xfId="0" applyNumberFormat="1" applyFont="1" applyFill="1" applyBorder="1"/>
    <x:xf numFmtId="0" fontId="2" fillId="0" borderId="1" xfId="0" applyNumberFormat="1" applyFont="1" applyFill="1" applyBorder="1"/>
    <x:xf numFmtId="0" fontId="1" fillId="0" borderId="1" xfId="0" applyNumberFormat="1" applyFont="1" applyFill="1" applyBorder="1"/>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wrapText="1"/>
    </x:xf>
    <x:xf numFmtId="0" fontId="1" fillId="0" borderId="0" xfId="0" applyNumberFormat="1" applyFont="1" applyFill="1" applyBorder="1" applyAlignment="1">
      <x:alignment wrapText="1"/>
    </x:xf>
    <x:xf numFmtId="0" fontId="4" fillId="3" borderId="4" xfId="0" applyNumberFormat="1" applyFont="1" applyFill="1" applyBorder="1" applyAlignment="1">
      <x:alignment horizontal="center" vertical="center" wrapText="1"/>
    </x:xf>
    <x:xf numFmtId="0" fontId="1" fillId="0" borderId="4" xfId="0" applyNumberFormat="1" applyFont="1" applyFill="1" applyBorder="1" applyAlignment="1">
      <x:alignment vertical="center" wrapText="1"/>
    </x:xf>
    <x:xf numFmtId="0" fontId="8" fillId="0" borderId="4" xfId="0" applyNumberFormat="1" applyFont="1" applyFill="1" applyBorder="1" applyAlignment="1">
      <x:alignment vertical="center" wrapText="1"/>
    </x:xf>
    <x:xf numFmtId="0" fontId="1" fillId="6" borderId="4" xfId="0" applyNumberFormat="1" applyFont="1" applyFill="1" applyBorder="1" applyAlignment="1">
      <x:alignment vertical="center" wrapText="1"/>
    </x:xf>
  </x:cellXfs>
  <x:cellStyles count="1">
    <x:cellStyle name="Normal" xfId="0"/>
  </x:cellStyles>
  <x:dxfs count="4">
    <x:dxf>
      <x:font>
        <x:b/>
        <x:color rgb="FF216E39"/>
      </x:font>
      <x:fill>
        <x:patternFill patternType="solid">
          <x:bgColor rgb="FFD9EAD3"/>
        </x:patternFill>
      </x:fill>
    </x:dxf>
    <x:dxf>
      <x:font>
        <x:b/>
        <x:color rgb="FF9C0006"/>
      </x:font>
      <x:fill>
        <x:patternFill patternType="solid">
          <x:bgColor rgb="FFF4CCCC"/>
        </x:patternFill>
      </x:fill>
    </x:dxf>
    <x:dxf>
      <x:font>
        <x:b/>
        <x:color rgb="FF9A5700"/>
      </x:font>
      <x:fill>
        <x:patternFill patternType="solid">
          <x:bgColor rgb="FFFCE5CD"/>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a0a62afc8d4701" /><Relationship Type="http://schemas.openxmlformats.org/officeDocument/2006/relationships/theme" Target="/xl/theme/theme1.xml" Id="Rb26206d682534477" /><Relationship Type="http://schemas.openxmlformats.org/officeDocument/2006/relationships/sharedStrings" Target="/xl/sharedStrings.xml" Id="R567c1a96fc854310" /><Relationship Type="http://schemas.openxmlformats.org/officeDocument/2006/relationships/worksheet" Target="/xl/worksheets/sheet1.xml" Id="R8b01b7b823e24fb1" /><Relationship Type="http://schemas.openxmlformats.org/officeDocument/2006/relationships/worksheet" Target="/xl/worksheets/sheet2.xml" Id="R7f4d0a8b929e46f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5" hidden="0" customWidth="1"/>
    <x:col min="2" max="2" width="19" hidden="0" customWidth="1"/>
    <x:col min="3" max="3" width="21" hidden="0" customWidth="1"/>
    <x:col min="4" max="4" width="34" hidden="0" customWidth="1"/>
    <x:col min="5" max="5" width="38" hidden="0" customWidth="1"/>
    <x:col min="6" max="6" width="56" hidden="0" customWidth="1"/>
    <x:col min="7" max="7" width="33" hidden="0" customWidth="1"/>
    <x:col min="8" max="8" width="42" hidden="0" customWidth="1"/>
    <x:col min="9" max="9" width="35" hidden="0" customWidth="1"/>
    <x:col min="10" max="10" width="16" hidden="0" customWidth="1"/>
  </x:cols>
  <x:sheetData>
    <x:row r="1" ht="29" customHeight="1">
      <x:c r="A1" s="5" t="str">
        <x:v>NorzAgapay Manual Test Cases</x:v>
      </x:c>
      <x:c r="B1" s="6"/>
      <x:c r="C1" s="6"/>
      <x:c r="D1" s="6"/>
      <x:c r="E1" s="6"/>
      <x:c r="F1" s="6"/>
      <x:c r="G1" s="6"/>
      <x:c r="H1" s="6"/>
      <x:c r="I1" s="6"/>
      <x:c r="J1" s="6"/>
    </x:row>
    <x:row r="2" ht="25" customHeight="1">
      <x:c r="A2" s="10" t="str">
        <x:v>Tester:</x:v>
      </x:c>
      <x:c r="B2" s="9" t="str"/>
      <x:c r="C2" s="8" t="str"/>
      <x:c r="D2" s="10" t="str">
        <x:v>Test Date:</x:v>
      </x:c>
      <x:c r="E2" s="9" t="str"/>
      <x:c r="F2" s="8" t="str"/>
      <x:c r="G2" s="10" t="str">
        <x:v>Environment:</x:v>
      </x:c>
      <x:c r="H2" s="9" t="str"/>
      <x:c r="I2" s="8" t="str"/>
      <x:c r="J2" s="8" t="str"/>
    </x:row>
    <x:row r="3">
      <x:c r="A3" s="2"/>
      <x:c r="B3" s="2"/>
      <x:c r="C3" s="2"/>
      <x:c r="D3" s="2"/>
      <x:c r="E3" s="2"/>
      <x:c r="F3" s="2"/>
      <x:c r="G3" s="2"/>
      <x:c r="H3" s="2"/>
      <x:c r="I3" s="2"/>
      <x:c r="J3" s="2"/>
    </x:row>
    <x:row r="4" ht="25" customHeight="1">
      <x:c r="A4" s="13" t="str">
        <x:v>Total Cases</x:v>
      </x:c>
      <x:c r="B4" s="16" t="n">
        <x:f>COUNTA(A8:A145)</x:f>
        <x:v>138</x:v>
      </x:c>
      <x:c r="C4" s="13" t="str">
        <x:v>Pass</x:v>
      </x:c>
      <x:c r="D4" s="16" t="n">
        <x:f>COUNTIF(J8:J145,"Pass")</x:f>
        <x:v>0</x:v>
      </x:c>
      <x:c r="E4" s="13" t="str">
        <x:v>Fail</x:v>
      </x:c>
      <x:c r="F4" s="16" t="n">
        <x:f>COUNTIF(J8:J145,"Fail")</x:f>
        <x:v>0</x:v>
      </x:c>
      <x:c r="G4" s="13" t="str">
        <x:v>Blocked</x:v>
      </x:c>
      <x:c r="H4" s="16" t="n">
        <x:f>COUNTIF(J8:J145,"Blocked")</x:f>
        <x:v>0</x:v>
      </x:c>
      <x:c r="I4" s="13" t="str">
        <x:v>Not Executed</x:v>
      </x:c>
      <x:c r="J4" s="16" t="n">
        <x:f>COUNTIF(J8:J145,"Not Executed")</x:f>
        <x:v>138</x:v>
      </x:c>
    </x:row>
    <x:row r="5">
      <x:c r="A5" s="17" t="str">
        <x:v>Pass Rate</x:v>
      </x:c>
      <x:c r="B5" s="20" t="str">
        <x:f>IF(D4+F4=0,"",D4/(D4+F4))</x:f>
      </x:c>
      <x:c r="C5" s="21" t="str">
        <x:v>Pass / (Pass + Fail); blocked and unexecuted cases are excluded.</x:v>
      </x:c>
      <x:c r="D5" s="21"/>
      <x:c r="E5" s="21"/>
      <x:c r="F5" s="21"/>
      <x:c r="G5" s="21"/>
      <x:c r="H5" s="21"/>
      <x:c r="I5" s="21"/>
      <x:c r="J5" s="21"/>
    </x:row>
    <x:row r="6" ht="22" customHeight="1">
      <x:c r="A6" s="21" t="str">
        <x:v>Enter actual observations or defect references in the yellow column; set a status only after running each case.</x:v>
      </x:c>
      <x:c r="B6" s="21"/>
      <x:c r="C6" s="21"/>
      <x:c r="D6" s="21"/>
      <x:c r="E6" s="21"/>
      <x:c r="F6" s="21"/>
      <x:c r="G6" s="21"/>
      <x:c r="H6" s="21"/>
      <x:c r="I6" s="21"/>
      <x:c r="J6" s="21"/>
    </x:row>
    <x:row r="7" ht="34" customHeight="1">
      <x:c r="A7" s="25" t="str">
        <x:v>Test Case ID</x:v>
      </x:c>
      <x:c r="B7" s="25" t="str">
        <x:v>Module</x:v>
      </x:c>
      <x:c r="C7" s="25" t="str">
        <x:v>User Role</x:v>
      </x:c>
      <x:c r="D7" s="25" t="str">
        <x:v>Test Scenario</x:v>
      </x:c>
      <x:c r="E7" s="25" t="str">
        <x:v>Preconditions</x:v>
      </x:c>
      <x:c r="F7" s="25" t="str">
        <x:v>Test Steps</x:v>
      </x:c>
      <x:c r="G7" s="25" t="str">
        <x:v>Test Data / Input</x:v>
      </x:c>
      <x:c r="H7" s="25" t="str">
        <x:v>Expected Result</x:v>
      </x:c>
      <x:c r="I7" s="25" t="str">
        <x:v>Actual Result / Notes</x:v>
      </x:c>
      <x:c r="J7" s="25" t="str">
        <x:v>Status</x:v>
      </x:c>
    </x:row>
    <x:row r="8" ht="65" customHeight="1">
      <x:c r="A8" s="27" t="str">
        <x:v>RES-AUTH-01</x:v>
      </x:c>
      <x:c r="B8" s="27" t="str">
        <x:v>Account and access</x:v>
      </x:c>
      <x:c r="C8" s="27" t="str">
        <x:v>Resident</x:v>
      </x:c>
      <x:c r="D8" s="26" t="str">
        <x:v>Register using email OTP</x:v>
      </x:c>
      <x:c r="E8" s="26" t="str">
        <x:v>No resident account exists for the test email; email delivery is available.</x:v>
      </x:c>
      <x:c r="F8" s="26" t="str">
        <x:v>1. Open Profile and choose Register.
2. Enter valid details and choose Email.
3. Request and enter the received code.
4. Submit registration.</x:v>
      </x:c>
      <x:c r="G8" s="26" t="str">
        <x:v>Unique test name, email, mobile, password, valid email OTP</x:v>
      </x:c>
      <x:c r="H8" s="26" t="str">
        <x:v>The account is created once, verification succeeds, and the resident profile opens.</x:v>
      </x:c>
      <x:c r="I8" s="28" t="str"/>
      <x:c r="J8" s="29" t="str">
        <x:v>Not Executed</x:v>
      </x:c>
    </x:row>
    <x:row r="9" ht="65" customHeight="1">
      <x:c r="A9" s="30" t="str">
        <x:v>RES-AUTH-02</x:v>
      </x:c>
      <x:c r="B9" s="30" t="str">
        <x:v>Account and access</x:v>
      </x:c>
      <x:c r="C9" s="30" t="str">
        <x:v>Resident</x:v>
      </x:c>
      <x:c r="D9" s="31" t="str">
        <x:v>Register using mobile SMS OTP</x:v>
      </x:c>
      <x:c r="E9" s="31" t="str">
        <x:v>No resident account exists for the test mobile; SMS delivery is available.</x:v>
      </x:c>
      <x:c r="F9" s="31" t="str">
        <x:v>1. Open Profile and choose Register.
2. Enter valid details and choose SMS.
3. Request and enter the received code.
4. Submit registration.</x:v>
      </x:c>
      <x:c r="G9" s="31" t="str">
        <x:v>Unique test email and mobile, valid SMS OTP</x:v>
      </x:c>
      <x:c r="H9" s="31" t="str">
        <x:v>The account is created once after the mobile code is verified.</x:v>
      </x:c>
      <x:c r="I9" s="28" t="str"/>
      <x:c r="J9" s="29" t="str">
        <x:v>Not Executed</x:v>
      </x:c>
    </x:row>
    <x:row r="10" ht="52" customHeight="1">
      <x:c r="A10" s="27" t="str">
        <x:v>RES-AUTH-03</x:v>
      </x:c>
      <x:c r="B10" s="27" t="str">
        <x:v>Account and access</x:v>
      </x:c>
      <x:c r="C10" s="27" t="str">
        <x:v>Resident</x:v>
      </x:c>
      <x:c r="D10" s="26" t="str">
        <x:v>Reject incomplete, invalid, or duplicate registration</x:v>
      </x:c>
      <x:c r="E10" s="26" t="str">
        <x:v>A resident account already uses the test email and mobile.</x:v>
      </x:c>
      <x:c r="F10" s="26" t="str">
        <x:v>1. Open registration.
2. Submit missing fields and an invalid email/mobile.
3. Try the existing email or mobile.</x:v>
      </x:c>
      <x:c r="G10" s="26" t="str">
        <x:v>Blank name, malformed email, duplicate email/mobile</x:v>
      </x:c>
      <x:c r="H10" s="26" t="str">
        <x:v>Registration is blocked with a clear validation message and no duplicate account is created.</x:v>
      </x:c>
      <x:c r="I10" s="28" t="str"/>
      <x:c r="J10" s="29" t="str">
        <x:v>Not Executed</x:v>
      </x:c>
    </x:row>
    <x:row r="11" ht="52" customHeight="1">
      <x:c r="A11" s="30" t="str">
        <x:v>RES-AUTH-04</x:v>
      </x:c>
      <x:c r="B11" s="30" t="str">
        <x:v>Account and access</x:v>
      </x:c>
      <x:c r="C11" s="30" t="str">
        <x:v>Resident</x:v>
      </x:c>
      <x:c r="D11" s="31" t="str">
        <x:v>Reject an incorrect registration OTP</x:v>
      </x:c>
      <x:c r="E11" s="31" t="str">
        <x:v>A registration OTP has been sent to a test contact.</x:v>
      </x:c>
      <x:c r="F11" s="31" t="str">
        <x:v>1. Enter an incorrect or expired code.
2. Submit verification.
3. Request a replacement code and enter the current code.</x:v>
      </x:c>
      <x:c r="G11" s="31" t="str">
        <x:v>Incorrect, expired, then current OTP</x:v>
      </x:c>
      <x:c r="H11" s="31" t="str">
        <x:v>Incorrect or expired codes are rejected; only the valid current code completes verification.</x:v>
      </x:c>
      <x:c r="I11" s="28" t="str"/>
      <x:c r="J11" s="29" t="str">
        <x:v>Not Executed</x:v>
      </x:c>
    </x:row>
    <x:row r="12" ht="52" customHeight="1">
      <x:c r="A12" s="27" t="str">
        <x:v>RES-AUTH-05</x:v>
      </x:c>
      <x:c r="B12" s="27" t="str">
        <x:v>Account and access</x:v>
      </x:c>
      <x:c r="C12" s="27" t="str">
        <x:v>Resident</x:v>
      </x:c>
      <x:c r="D12" s="26" t="str">
        <x:v>Log in with valid credentials</x:v>
      </x:c>
      <x:c r="E12" s="26" t="str">
        <x:v>A verified resident account is active.</x:v>
      </x:c>
      <x:c r="F12" s="26" t="str">
        <x:v>1. Open Profile while signed out.
2. Enter the registered email and password.
3. Select Sign In.</x:v>
      </x:c>
      <x:c r="G12" s="26" t="str">
        <x:v>Verified resident email and password</x:v>
      </x:c>
      <x:c r="H12" s="26" t="str">
        <x:v>The resident is authenticated and the signed-in profile is displayed.</x:v>
      </x:c>
      <x:c r="I12" s="28" t="str"/>
      <x:c r="J12" s="29" t="str">
        <x:v>Not Executed</x:v>
      </x:c>
    </x:row>
    <x:row r="13" ht="52" customHeight="1">
      <x:c r="A13" s="30" t="str">
        <x:v>RES-AUTH-06</x:v>
      </x:c>
      <x:c r="B13" s="30" t="str">
        <x:v>Account and access</x:v>
      </x:c>
      <x:c r="C13" s="30" t="str">
        <x:v>Resident</x:v>
      </x:c>
      <x:c r="D13" s="31" t="str">
        <x:v>Reject invalid login credentials</x:v>
      </x:c>
      <x:c r="E13" s="31" t="str">
        <x:v>A resident account exists.</x:v>
      </x:c>
      <x:c r="F13" s="31" t="str">
        <x:v>1. Open Profile while signed out.
2. Enter an unknown email or incorrect password.
3. Select Sign In.</x:v>
      </x:c>
      <x:c r="G13" s="31" t="str">
        <x:v>Unknown email or wrong password</x:v>
      </x:c>
      <x:c r="H13" s="31" t="str">
        <x:v>Access is denied and protected resident information remains unavailable.</x:v>
      </x:c>
      <x:c r="I13" s="28" t="str"/>
      <x:c r="J13" s="29" t="str">
        <x:v>Not Executed</x:v>
      </x:c>
    </x:row>
    <x:row r="14" ht="65" customHeight="1">
      <x:c r="A14" s="27" t="str">
        <x:v>RES-AUTH-07</x:v>
      </x:c>
      <x:c r="B14" s="27" t="str">
        <x:v>Account and access</x:v>
      </x:c>
      <x:c r="C14" s="27" t="str">
        <x:v>Resident</x:v>
      </x:c>
      <x:c r="D14" s="26" t="str">
        <x:v>Reset password using email OTP</x:v>
      </x:c>
      <x:c r="E14" s="26" t="str">
        <x:v>A resident account has a reachable registered email.</x:v>
      </x:c>
      <x:c r="F14" s="26" t="str">
        <x:v>1. Choose Forgot password.
2. Enter the account email and choose Email.
3. Request the code, enter it, and set a valid new password.
4. Sign in with the new password.</x:v>
      </x:c>
      <x:c r="G14" s="26" t="str">
        <x:v>Registered email, valid email OTP, new password</x:v>
      </x:c>
      <x:c r="H14" s="26" t="str">
        <x:v>The reset completes and the resident can sign in with the new password.</x:v>
      </x:c>
      <x:c r="I14" s="28" t="str"/>
      <x:c r="J14" s="29" t="str">
        <x:v>Not Executed</x:v>
      </x:c>
    </x:row>
    <x:row r="15" ht="65" customHeight="1">
      <x:c r="A15" s="30" t="str">
        <x:v>RES-AUTH-08</x:v>
      </x:c>
      <x:c r="B15" s="30" t="str">
        <x:v>Account and access</x:v>
      </x:c>
      <x:c r="C15" s="30" t="str">
        <x:v>Resident</x:v>
      </x:c>
      <x:c r="D15" s="31" t="str">
        <x:v>Reset password using mobile SMS OTP</x:v>
      </x:c>
      <x:c r="E15" s="31" t="str">
        <x:v>A resident account has a reachable registered mobile number.</x:v>
      </x:c>
      <x:c r="F15" s="31" t="str">
        <x:v>1. Choose Forgot password.
2. Enter the account email and choose Mobile SMS.
3. Request the code, enter it, and set a valid new password.
4. Sign in with the new password.</x:v>
      </x:c>
      <x:c r="G15" s="31" t="str">
        <x:v>Registered email, saved mobile number, valid SMS OTP</x:v>
      </x:c>
      <x:c r="H15" s="31" t="str">
        <x:v>The reset code is delivered to the saved mobile number and the new password works.</x:v>
      </x:c>
      <x:c r="I15" s="28" t="str"/>
      <x:c r="J15" s="29" t="str">
        <x:v>Not Executed</x:v>
      </x:c>
    </x:row>
    <x:row r="16" ht="52" customHeight="1">
      <x:c r="A16" s="27" t="str">
        <x:v>RES-AUTH-09</x:v>
      </x:c>
      <x:c r="B16" s="27" t="str">
        <x:v>Account and access</x:v>
      </x:c>
      <x:c r="C16" s="27" t="str">
        <x:v>Resident</x:v>
      </x:c>
      <x:c r="D16" s="26" t="str">
        <x:v>Reject invalid reset OTP and weak or mismatched passwords</x:v>
      </x:c>
      <x:c r="E16" s="26" t="str">
        <x:v>A reset code has been requested.</x:v>
      </x:c>
      <x:c r="F16" s="26" t="str">
        <x:v>1. Submit an incorrect or expired OTP.
2. Try a short password and mismatched confirmation.
3. Submit the valid OTP with matching valid passwords.</x:v>
      </x:c>
      <x:c r="G16" s="26" t="str">
        <x:v>Wrong/expired OTP, short password, mismatch, then valid values</x:v>
      </x:c>
      <x:c r="H16" s="26" t="str">
        <x:v>Invalid inputs are rejected without changing the password; valid inputs complete the reset.</x:v>
      </x:c>
      <x:c r="I16" s="28" t="str"/>
      <x:c r="J16" s="29" t="str">
        <x:v>Not Executed</x:v>
      </x:c>
    </x:row>
    <x:row r="17" ht="52" customHeight="1">
      <x:c r="A17" s="30" t="str">
        <x:v>RES-AUTH-10</x:v>
      </x:c>
      <x:c r="B17" s="30" t="str">
        <x:v>Account and access</x:v>
      </x:c>
      <x:c r="C17" s="30" t="str">
        <x:v>Resident</x:v>
      </x:c>
      <x:c r="D17" s="31" t="str">
        <x:v>Update profile details</x:v>
      </x:c>
      <x:c r="E17" s="31" t="str">
        <x:v>A resident is signed in.</x:v>
      </x:c>
      <x:c r="F17" s="31" t="str">
        <x:v>1. Open Profile settings.
2. Edit an allowed profile field.
3. Save, leave the screen, and reopen Profile.</x:v>
      </x:c>
      <x:c r="G17" s="31" t="str">
        <x:v>Updated test name or contact detail</x:v>
      </x:c>
      <x:c r="H17" s="31" t="str">
        <x:v>The permitted change is saved and appears after reopening the profile.</x:v>
      </x:c>
      <x:c r="I17" s="28" t="str"/>
      <x:c r="J17" s="29" t="str">
        <x:v>Not Executed</x:v>
      </x:c>
    </x:row>
    <x:row r="18" ht="78" customHeight="1">
      <x:c r="A18" s="27" t="str">
        <x:v>RES-AUTH-11</x:v>
      </x:c>
      <x:c r="B18" s="27" t="str">
        <x:v>Account and access</x:v>
      </x:c>
      <x:c r="C18" s="27" t="str">
        <x:v>Resident</x:v>
      </x:c>
      <x:c r="D18" s="26" t="str">
        <x:v>Change password from signed-in profile</x:v>
      </x:c>
      <x:c r="E18" s="26" t="str">
        <x:v>A resident is signed in and can receive email OTP.</x:v>
      </x:c>
      <x:c r="F18" s="26" t="str">
        <x:v>1. Open Change Password.
2. Request and enter the email OTP.
3. Enter the current or temporary password and a matching valid new password.
4. Sign in again.</x:v>
      </x:c>
      <x:c r="G18" s="26" t="str">
        <x:v>Registered email, valid OTP, current and new passwords</x:v>
      </x:c>
      <x:c r="H18" s="26" t="str">
        <x:v>The password update is confirmed and the new credential works.</x:v>
      </x:c>
      <x:c r="I18" s="28" t="str"/>
      <x:c r="J18" s="29" t="str">
        <x:v>Not Executed</x:v>
      </x:c>
    </x:row>
    <x:row r="19" ht="43" customHeight="1">
      <x:c r="A19" s="30" t="str">
        <x:v>RES-AUTH-12</x:v>
      </x:c>
      <x:c r="B19" s="30" t="str">
        <x:v>Account and access</x:v>
      </x:c>
      <x:c r="C19" s="30" t="str">
        <x:v>Resident</x:v>
      </x:c>
      <x:c r="D19" s="31" t="str">
        <x:v>Sign out and protect signed-in pages</x:v>
      </x:c>
      <x:c r="E19" s="31" t="str">
        <x:v>A resident is signed in with report history.</x:v>
      </x:c>
      <x:c r="F19" s="31" t="str">
        <x:v>1. Select Log Out and confirm.
2. Reopen the app and try Profile or report history.</x:v>
      </x:c>
      <x:c r="G19" s="31" t="str">
        <x:v>Signed-in resident session</x:v>
      </x:c>
      <x:c r="H19" s="31" t="str">
        <x:v>The session ends and private account data requires sign-in.</x:v>
      </x:c>
      <x:c r="I19" s="28" t="str"/>
      <x:c r="J19" s="29" t="str">
        <x:v>Not Executed</x:v>
      </x:c>
    </x:row>
    <x:row r="20" ht="52" customHeight="1">
      <x:c r="A20" s="27" t="str">
        <x:v>RES-REPORT-01</x:v>
      </x:c>
      <x:c r="B20" s="27" t="str">
        <x:v>Incident reporting</x:v>
      </x:c>
      <x:c r="C20" s="27" t="str">
        <x:v>Resident</x:v>
      </x:c>
      <x:c r="D20" s="26" t="str">
        <x:v>Create emergency report with device geolocation</x:v>
      </x:c>
      <x:c r="E20" s="26" t="str">
        <x:v>Location services are enabled and the device is within the supported area.</x:v>
      </x:c>
      <x:c r="F20" s="26" t="str">
        <x:v>1. Open Emergency Incident.
2. Allow location access and choose an incident type.
3. Enter details and submit.</x:v>
      </x:c>
      <x:c r="G20" s="26" t="str">
        <x:v>Test incident category, description, device GPS fix</x:v>
      </x:c>
      <x:c r="H20" s="26" t="str">
        <x:v>The report is submitted with captured coordinates and appears in the resident report list.</x:v>
      </x:c>
      <x:c r="I20" s="28" t="str"/>
      <x:c r="J20" s="29" t="str">
        <x:v>Not Executed</x:v>
      </x:c>
    </x:row>
    <x:row r="21" ht="52" customHeight="1">
      <x:c r="A21" s="30" t="str">
        <x:v>RES-REPORT-02</x:v>
      </x:c>
      <x:c r="B21" s="30" t="str">
        <x:v>Incident reporting</x:v>
      </x:c>
      <x:c r="C21" s="30" t="str">
        <x:v>Resident</x:v>
      </x:c>
      <x:c r="D21" s="31" t="str">
        <x:v>Set incident location on the map</x:v>
      </x:c>
      <x:c r="E21" s="31" t="str">
        <x:v>A report form is open and map tiles are available.</x:v>
      </x:c>
      <x:c r="F21" s="31" t="str">
        <x:v>1. Open the location picker.
2. Select a point or move the pin.
3. Confirm location and submit the report.</x:v>
      </x:c>
      <x:c r="G21" s="31" t="str">
        <x:v>Known test coordinates inside Norzagaray</x:v>
      </x:c>
      <x:c r="H21" s="31" t="str">
        <x:v>Selected coordinates are shown on the form and saved with the report.</x:v>
      </x:c>
      <x:c r="I21" s="28" t="str"/>
      <x:c r="J21" s="29" t="str">
        <x:v>Not Executed</x:v>
      </x:c>
    </x:row>
    <x:row r="22" ht="43" customHeight="1">
      <x:c r="A22" s="27" t="str">
        <x:v>RES-REPORT-03</x:v>
      </x:c>
      <x:c r="B22" s="27" t="str">
        <x:v>Incident reporting</x:v>
      </x:c>
      <x:c r="C22" s="27" t="str">
        <x:v>Resident</x:v>
      </x:c>
      <x:c r="D22" s="26" t="str">
        <x:v>Require essential report details</x:v>
      </x:c>
      <x:c r="E22" s="26" t="str">
        <x:v>A report form is open.</x:v>
      </x:c>
      <x:c r="F22" s="26" t="str">
        <x:v>1. Leave incident type, description, or location incomplete.
2. Attempt to submit.</x:v>
      </x:c>
      <x:c r="G22" s="26" t="str">
        <x:v>One or more missing required fields</x:v>
      </x:c>
      <x:c r="H22" s="26" t="str">
        <x:v>Submission is blocked and identifies the missing required information.</x:v>
      </x:c>
      <x:c r="I22" s="28" t="str"/>
      <x:c r="J22" s="29" t="str">
        <x:v>Not Executed</x:v>
      </x:c>
    </x:row>
    <x:row r="23" ht="52" customHeight="1">
      <x:c r="A23" s="30" t="str">
        <x:v>RES-REPORT-04</x:v>
      </x:c>
      <x:c r="B23" s="30" t="str">
        <x:v>Incident reporting</x:v>
      </x:c>
      <x:c r="C23" s="30" t="str">
        <x:v>Resident</x:v>
      </x:c>
      <x:c r="D23" s="31" t="str">
        <x:v>Choose report routing authority</x:v>
      </x:c>
      <x:c r="E23" s="31" t="str">
        <x:v>A report form is open and routing choices are available.</x:v>
      </x:c>
      <x:c r="F23" s="31" t="str">
        <x:v>1. Submit a test report to Barangay.
2. Repeat with MDRRMO and All authorities.
3. Check receiving queues.</x:v>
      </x:c>
      <x:c r="G23" s="31" t="str">
        <x:v>Three reports with different target routing</x:v>
      </x:c>
      <x:c r="H23" s="31" t="str">
        <x:v>Each report is routed to the selected authority or authorities and excluded from unselected queues.</x:v>
      </x:c>
      <x:c r="I23" s="28" t="str"/>
      <x:c r="J23" s="29" t="str">
        <x:v>Not Executed</x:v>
      </x:c>
    </x:row>
    <x:row r="24" ht="52" customHeight="1">
      <x:c r="A24" s="27" t="str">
        <x:v>RES-REPORT-05</x:v>
      </x:c>
      <x:c r="B24" s="27" t="str">
        <x:v>Incident reporting</x:v>
      </x:c>
      <x:c r="C24" s="27" t="str">
        <x:v>Resident</x:v>
      </x:c>
      <x:c r="D24" s="26" t="str">
        <x:v>Attach photo and video evidence</x:v>
      </x:c>
      <x:c r="E24" s="26" t="str">
        <x:v>Camera/gallery permissions and media storage are available.</x:v>
      </x:c>
      <x:c r="F24" s="26" t="str">
        <x:v>1. Open a report form.
2. Capture or choose a photo and supported video.
3. Preview and submit the report.</x:v>
      </x:c>
      <x:c r="G24" s="26" t="str">
        <x:v>Test photo and short video</x:v>
      </x:c>
      <x:c r="H24" s="26" t="str">
        <x:v>Selected evidence previews correctly and is attached to the submitted report.</x:v>
      </x:c>
      <x:c r="I24" s="28" t="str"/>
      <x:c r="J24" s="29" t="str">
        <x:v>Not Executed</x:v>
      </x:c>
    </x:row>
    <x:row r="25" ht="52" customHeight="1">
      <x:c r="A25" s="30" t="str">
        <x:v>RES-REPORT-06</x:v>
      </x:c>
      <x:c r="B25" s="30" t="str">
        <x:v>Incident reporting</x:v>
      </x:c>
      <x:c r="C25" s="30" t="str">
        <x:v>Resident</x:v>
      </x:c>
      <x:c r="D25" s="31" t="str">
        <x:v>Submit a community incident report</x:v>
      </x:c>
      <x:c r="E25" s="31" t="str">
        <x:v>The resident is signed in or the app permits the selected reporting mode.</x:v>
      </x:c>
      <x:c r="F25" s="31" t="str">
        <x:v>1. Open Community Incident.
2. Enter requested details and location.
3. Submit and open My Submitted Reports.</x:v>
      </x:c>
      <x:c r="G25" s="31" t="str">
        <x:v>Non-emergency community incident details</x:v>
      </x:c>
      <x:c r="H25" s="31" t="str">
        <x:v>The report is stored in the correct category and appears in the resident's reports.</x:v>
      </x:c>
      <x:c r="I25" s="28" t="str"/>
      <x:c r="J25" s="29" t="str">
        <x:v>Not Executed</x:v>
      </x:c>
    </x:row>
    <x:row r="26" ht="52" customHeight="1">
      <x:c r="A26" s="27" t="str">
        <x:v>RES-REPORT-07</x:v>
      </x:c>
      <x:c r="B26" s="27" t="str">
        <x:v>Incident reporting</x:v>
      </x:c>
      <x:c r="C26" s="27" t="str">
        <x:v>Resident</x:v>
      </x:c>
      <x:c r="D26" s="26" t="str">
        <x:v>Track report status and timeline</x:v>
      </x:c>
      <x:c r="E26" s="26" t="str">
        <x:v>A submitted report has received a dispatcher status update.</x:v>
      </x:c>
      <x:c r="F26" s="26" t="str">
        <x:v>1. Open My Reports.
2. Open the test report.
3. Review the timeline after an authorized status update.</x:v>
      </x:c>
      <x:c r="G26" s="26" t="str">
        <x:v>Report with pending, dispatched, on-scene, or resolved updates</x:v>
      </x:c>
      <x:c r="H26" s="26" t="str">
        <x:v>The report shows its latest status and ordered response timeline after refresh or live update.</x:v>
      </x:c>
      <x:c r="I26" s="28" t="str"/>
      <x:c r="J26" s="29" t="str">
        <x:v>Not Executed</x:v>
      </x:c>
    </x:row>
    <x:row r="27" ht="52" customHeight="1">
      <x:c r="A27" s="30" t="str">
        <x:v>RES-REPORT-08</x:v>
      </x:c>
      <x:c r="B27" s="30" t="str">
        <x:v>Incident reporting</x:v>
      </x:c>
      <x:c r="C27" s="30" t="str">
        <x:v>Resident</x:v>
      </x:c>
      <x:c r="D27" s="31" t="str">
        <x:v>Save a report as an offline draft</x:v>
      </x:c>
      <x:c r="E27" s="31" t="str">
        <x:v>The device is offline and local draft storage is available.</x:v>
      </x:c>
      <x:c r="F27" s="31" t="str">
        <x:v>1. Start a report and enter details.
2. Save or leave it as a draft while offline.
3. Open My Reports and select Drafts.</x:v>
      </x:c>
      <x:c r="G27" s="31" t="str">
        <x:v>Offline report with description and location</x:v>
      </x:c>
      <x:c r="H27" s="31" t="str">
        <x:v>The draft remains available locally and is not falsely shown as submitted.</x:v>
      </x:c>
      <x:c r="I27" s="28" t="str"/>
      <x:c r="J27" s="29" t="str">
        <x:v>Not Executed</x:v>
      </x:c>
    </x:row>
    <x:row r="28" ht="52" customHeight="1">
      <x:c r="A28" s="27" t="str">
        <x:v>RES-REPORT-09</x:v>
      </x:c>
      <x:c r="B28" s="27" t="str">
        <x:v>Incident reporting</x:v>
      </x:c>
      <x:c r="C28" s="27" t="str">
        <x:v>Resident</x:v>
      </x:c>
      <x:c r="D28" s="26" t="str">
        <x:v>Retry an offline draft when connected</x:v>
      </x:c>
      <x:c r="E28" s="26" t="str">
        <x:v>A complete draft exists and the device has network access.</x:v>
      </x:c>
      <x:c r="F28" s="26" t="str">
        <x:v>1. Open Drafts.
2. Retry submission.
3. Reopen the submitted report.</x:v>
      </x:c>
      <x:c r="G28" s="26" t="str">
        <x:v>Saved draft and restored network connection</x:v>
      </x:c>
      <x:c r="H28" s="26" t="str">
        <x:v>The draft submits once, leaves the unsent list, and appears in My Reports.</x:v>
      </x:c>
      <x:c r="I28" s="28" t="str"/>
      <x:c r="J28" s="29" t="str">
        <x:v>Not Executed</x:v>
      </x:c>
    </x:row>
    <x:row r="29" ht="52" customHeight="1">
      <x:c r="A29" s="30" t="str">
        <x:v>RES-REPORT-10</x:v>
      </x:c>
      <x:c r="B29" s="30" t="str">
        <x:v>Incident reporting</x:v>
      </x:c>
      <x:c r="C29" s="30" t="str">
        <x:v>Resident</x:v>
      </x:c>
      <x:c r="D29" s="31" t="str">
        <x:v>Delete an unsent draft</x:v>
      </x:c>
      <x:c r="E29" s="31" t="str">
        <x:v>At least one local draft exists.</x:v>
      </x:c>
      <x:c r="F29" s="31" t="str">
        <x:v>1. Open Drafts.
2. Choose Delete Draft and confirm if prompted.
3. Reopen Drafts.</x:v>
      </x:c>
      <x:c r="G29" s="31" t="str">
        <x:v>Unsubmitted test draft</x:v>
      </x:c>
      <x:c r="H29" s="31" t="str">
        <x:v>The selected draft is removed and other drafts remain unchanged.</x:v>
      </x:c>
      <x:c r="I29" s="28" t="str"/>
      <x:c r="J29" s="29" t="str">
        <x:v>Not Executed</x:v>
      </x:c>
    </x:row>
    <x:row r="30" ht="52" customHeight="1">
      <x:c r="A30" s="27" t="str">
        <x:v>RES-REPORT-11</x:v>
      </x:c>
      <x:c r="B30" s="27" t="str">
        <x:v>Incident reporting</x:v>
      </x:c>
      <x:c r="C30" s="27" t="str">
        <x:v>Resident</x:v>
      </x:c>
      <x:c r="D30" s="26" t="str">
        <x:v>View and filter submitted reports</x:v>
      </x:c>
      <x:c r="E30" s="26" t="str">
        <x:v>The resident has reports in more than one status.</x:v>
      </x:c>
      <x:c r="F30" s="26" t="str">
        <x:v>1. Open My Reports.
2. Switch available status sections or filters.
3. Open a selected report.</x:v>
      </x:c>
      <x:c r="G30" s="26" t="str">
        <x:v>Reports in pending and resolved statuses</x:v>
      </x:c>
      <x:c r="H30" s="26" t="str">
        <x:v>The list and selected report match the chosen section and resident account.</x:v>
      </x:c>
      <x:c r="I30" s="28" t="str"/>
      <x:c r="J30" s="29" t="str">
        <x:v>Not Executed</x:v>
      </x:c>
    </x:row>
    <x:row r="31" ht="52" customHeight="1">
      <x:c r="A31" s="30" t="str">
        <x:v>RES-REPORT-12</x:v>
      </x:c>
      <x:c r="B31" s="30" t="str">
        <x:v>Incident reporting</x:v>
      </x:c>
      <x:c r="C31" s="30" t="str">
        <x:v>Resident</x:v>
      </x:c>
      <x:c r="D31" s="31" t="str">
        <x:v>Open incident detail and evidence</x:v>
      </x:c>
      <x:c r="E31" s="31" t="str">
        <x:v>A submitted report includes coordinates and media.</x:v>
      </x:c>
      <x:c r="F31" s="31" t="str">
        <x:v>1. Open the report from My Reports.
2. Review map, details, status, and evidence.
3. Open an evidence item full-screen and close it.</x:v>
      </x:c>
      <x:c r="G31" s="31" t="str">
        <x:v>Report with test coordinates and photo/video</x:v>
      </x:c>
      <x:c r="H31" s="31" t="str">
        <x:v>Details match the report; the map points to the saved location and the preview closes cleanly.</x:v>
      </x:c>
      <x:c r="I31" s="28" t="str"/>
      <x:c r="J31" s="29" t="str">
        <x:v>Not Executed</x:v>
      </x:c>
    </x:row>
    <x:row r="32" ht="52" customHeight="1">
      <x:c r="A32" s="27" t="str">
        <x:v>RES-SERVICE-01</x:v>
      </x:c>
      <x:c r="B32" s="27" t="str">
        <x:v>Resident services</x:v>
      </x:c>
      <x:c r="C32" s="27" t="str">
        <x:v>Resident</x:v>
      </x:c>
      <x:c r="D32" s="26" t="str">
        <x:v>Browse active evacuation centers</x:v>
      </x:c>
      <x:c r="E32" s="26" t="str">
        <x:v>Active centers with locations are configured.</x:v>
      </x:c>
      <x:c r="F32" s="26" t="str">
        <x:v>1. Open Evacuation Centers.
2. Review names, locations, and distance information.
3. Refresh the list.</x:v>
      </x:c>
      <x:c r="G32" s="26" t="str">
        <x:v>Several active centers with coordinates</x:v>
      </x:c>
      <x:c r="H32" s="26" t="str">
        <x:v>Active centers load with correct location/distance information; inactive centers are excluded where applicable.</x:v>
      </x:c>
      <x:c r="I32" s="28" t="str"/>
      <x:c r="J32" s="29" t="str">
        <x:v>Not Executed</x:v>
      </x:c>
    </x:row>
    <x:row r="33" ht="52" customHeight="1">
      <x:c r="A33" s="30" t="str">
        <x:v>RES-SERVICE-02</x:v>
      </x:c>
      <x:c r="B33" s="30" t="str">
        <x:v>Resident services</x:v>
      </x:c>
      <x:c r="C33" s="30" t="str">
        <x:v>Resident</x:v>
      </x:c>
      <x:c r="D33" s="31" t="str">
        <x:v>Filter and inspect centers on the map</x:v>
      </x:c>
      <x:c r="E33" s="31" t="str">
        <x:v>Evacuation centers exist in multiple barangays.</x:v>
      </x:c>
      <x:c r="F33" s="31" t="str">
        <x:v>1. Open the evacuation map.
2. Choose a barangay filter.
3. Select a marker and inspect its details.</x:v>
      </x:c>
      <x:c r="G33" s="31" t="str">
        <x:v>Centers in two test barangays</x:v>
      </x:c>
      <x:c r="H33" s="31" t="str">
        <x:v>The filter changes visible centers and each marker opens matching details.</x:v>
      </x:c>
      <x:c r="I33" s="28" t="str"/>
      <x:c r="J33" s="29" t="str">
        <x:v>Not Executed</x:v>
      </x:c>
    </x:row>
    <x:row r="34" ht="52" customHeight="1">
      <x:c r="A34" s="27" t="str">
        <x:v>RES-SERVICE-03</x:v>
      </x:c>
      <x:c r="B34" s="27" t="str">
        <x:v>Resident services</x:v>
      </x:c>
      <x:c r="C34" s="27" t="str">
        <x:v>Resident</x:v>
      </x:c>
      <x:c r="D34" s="26" t="str">
        <x:v>Find the nearest evacuation center</x:v>
      </x:c>
      <x:c r="E34" s="26" t="str">
        <x:v>Location permission is granted and at least one center has coordinates.</x:v>
      </x:c>
      <x:c r="F34" s="26" t="str">
        <x:v>1. Open the evacuation map.
2. Select Find nearest evacuation station.
3. Inspect the selected center and distance.</x:v>
      </x:c>
      <x:c r="G34" s="26" t="str">
        <x:v>Current test location and geocoded centers</x:v>
      </x:c>
      <x:c r="H34" s="26" t="str">
        <x:v>The nearest eligible center is selected and distance is calculated from current location.</x:v>
      </x:c>
      <x:c r="I34" s="28" t="str"/>
      <x:c r="J34" s="29" t="str">
        <x:v>Not Executed</x:v>
      </x:c>
    </x:row>
    <x:row r="35" ht="52" customHeight="1">
      <x:c r="A35" s="30" t="str">
        <x:v>RES-SERVICE-04</x:v>
      </x:c>
      <x:c r="B35" s="30" t="str">
        <x:v>Resident services</x:v>
      </x:c>
      <x:c r="C35" s="30" t="str">
        <x:v>Resident</x:v>
      </x:c>
      <x:c r="D35" s="31" t="str">
        <x:v>Load saved evacuation information offline</x:v>
      </x:c>
      <x:c r="E35" s="31" t="str">
        <x:v>The center list has loaded once and the device is offline.</x:v>
      </x:c>
      <x:c r="F35" s="31" t="str">
        <x:v>1. Disable network access.
2. Open Evacuation Centers.
3. Review the saved-state indicator and list.</x:v>
      </x:c>
      <x:c r="G35" s="31" t="str">
        <x:v>Cached center list</x:v>
      </x:c>
      <x:c r="H35" s="31" t="str">
        <x:v>Previously saved locations display with an offline/saved indication and are not presented as fresh data.</x:v>
      </x:c>
      <x:c r="I35" s="28" t="str"/>
      <x:c r="J35" s="29" t="str">
        <x:v>Not Executed</x:v>
      </x:c>
    </x:row>
    <x:row r="36" ht="52" customHeight="1">
      <x:c r="A36" s="27" t="str">
        <x:v>RES-SERVICE-05</x:v>
      </x:c>
      <x:c r="B36" s="27" t="str">
        <x:v>Public alerts</x:v>
      </x:c>
      <x:c r="C36" s="27" t="str">
        <x:v>Resident</x:v>
      </x:c>
      <x:c r="D36" s="26" t="str">
        <x:v>Browse public advisories</x:v>
      </x:c>
      <x:c r="E36" s="26" t="str">
        <x:v>At least one public advisory is published.</x:v>
      </x:c>
      <x:c r="F36" s="26" t="str">
        <x:v>1. Open Alerts or Feed.
2. Select available categories or filters.
3. Open an advisory.</x:v>
      </x:c>
      <x:c r="G36" s="26" t="str">
        <x:v>Published disaster alert and safety advisory</x:v>
      </x:c>
      <x:c r="H36" s="26" t="str">
        <x:v>Published advisories load, filters show matching categories, and advisory content is readable.</x:v>
      </x:c>
      <x:c r="I36" s="28" t="str"/>
      <x:c r="J36" s="29" t="str">
        <x:v>Not Executed</x:v>
      </x:c>
    </x:row>
    <x:row r="37" ht="52" customHeight="1">
      <x:c r="A37" s="30" t="str">
        <x:v>RES-SERVICE-06</x:v>
      </x:c>
      <x:c r="B37" s="30" t="str">
        <x:v>Public alerts</x:v>
      </x:c>
      <x:c r="C37" s="30" t="str">
        <x:v>Resident</x:v>
      </x:c>
      <x:c r="D37" s="31" t="str">
        <x:v>Receive an alert notification</x:v>
      </x:c>
      <x:c r="E37" s="31" t="str">
        <x:v>A test device has a registered push token and notifications are enabled.</x:v>
      </x:c>
      <x:c r="F37" s="31" t="str">
        <x:v>1. Sign in and allow notifications.
2. Publish a test alert from an authorized account.
3. Open the notification.</x:v>
      </x:c>
      <x:c r="G37" s="31" t="str">
        <x:v>Test advisory with a unique title</x:v>
      </x:c>
      <x:c r="H37" s="31" t="str">
        <x:v>An eligible resident receives the notification and it opens the matching alert.</x:v>
      </x:c>
      <x:c r="I37" s="28" t="str"/>
      <x:c r="J37" s="29" t="str">
        <x:v>Not Executed</x:v>
      </x:c>
    </x:row>
    <x:row r="38" ht="52" customHeight="1">
      <x:c r="A38" s="27" t="str">
        <x:v>RES-SERVICE-07</x:v>
      </x:c>
      <x:c r="B38" s="27" t="str">
        <x:v>Resident services</x:v>
      </x:c>
      <x:c r="C38" s="27" t="str">
        <x:v>Resident</x:v>
      </x:c>
      <x:c r="D38" s="26" t="str">
        <x:v>View emergency hotlines</x:v>
      </x:c>
      <x:c r="E38" s="26" t="str">
        <x:v>Municipal or barangay hotlines are configured.</x:v>
      </x:c>
      <x:c r="F38" s="26" t="str">
        <x:v>1. Open Emergency Hotlines.
2. Review hotline names and numbers.
3. Tap a number if calling is supported.</x:v>
      </x:c>
      <x:c r="G38" s="26" t="str">
        <x:v>Configured test hotline</x:v>
      </x:c>
      <x:c r="H38" s="26" t="str">
        <x:v>Correct hotline details display and the contact action uses the selected number.</x:v>
      </x:c>
      <x:c r="I38" s="28" t="str"/>
      <x:c r="J38" s="29" t="str">
        <x:v>Not Executed</x:v>
      </x:c>
    </x:row>
    <x:row r="39" ht="52" customHeight="1">
      <x:c r="A39" s="30" t="str">
        <x:v>RES-SERVICE-08</x:v>
      </x:c>
      <x:c r="B39" s="30" t="str">
        <x:v>Resident services</x:v>
      </x:c>
      <x:c r="C39" s="30" t="str">
        <x:v>Resident</x:v>
      </x:c>
      <x:c r="D39" s="31" t="str">
        <x:v>View current weather and safety notices</x:v>
      </x:c>
      <x:c r="E39" s="31" t="str">
        <x:v>Weather service is reachable or cached information exists.</x:v>
      </x:c>
      <x:c r="F39" s="31" t="str">
        <x:v>1. Open the public feed/weather area.
2. Refresh weather data.
3. Review any safety alert or unavailable-data state.</x:v>
      </x:c>
      <x:c r="G39" s="31" t="str">
        <x:v>Weather response or simulated outage</x:v>
      </x:c>
      <x:c r="H39" s="31" t="str">
        <x:v>Current weather is shown when available; failures show an honest unavailable or saved-data state.</x:v>
      </x:c>
      <x:c r="I39" s="28" t="str"/>
      <x:c r="J39" s="29" t="str">
        <x:v>Not Executed</x:v>
      </x:c>
    </x:row>
    <x:row r="40" ht="52" customHeight="1">
      <x:c r="A40" s="27" t="str">
        <x:v>RES-SERVICE-09</x:v>
      </x:c>
      <x:c r="B40" s="27" t="str">
        <x:v>Resident services</x:v>
      </x:c>
      <x:c r="C40" s="27" t="str">
        <x:v>Resident</x:v>
      </x:c>
      <x:c r="D40" s="26" t="str">
        <x:v>Review terms and privacy information</x:v>
      </x:c>
      <x:c r="E40" s="26" t="str">
        <x:v>The resident app is open.</x:v>
      </x:c>
      <x:c r="F40" s="26" t="str">
        <x:v>1. Open Profile settings while signed in and signed out.
2. Open Terms and Conditions and Privacy Policy.
3. Close each view.</x:v>
      </x:c>
      <x:c r="G40" s="26" t="str">
        <x:v>Available legal information screens</x:v>
      </x:c>
      <x:c r="H40" s="26" t="str">
        <x:v>Each document opens, remains readable, and returns to the prior profile view.</x:v>
      </x:c>
      <x:c r="I40" s="28" t="str"/>
      <x:c r="J40" s="29" t="str">
        <x:v>Not Executed</x:v>
      </x:c>
    </x:row>
    <x:row r="41" ht="52" customHeight="1">
      <x:c r="A41" s="30" t="str">
        <x:v>BAR-AUTH-01</x:v>
      </x:c>
      <x:c r="B41" s="30" t="str">
        <x:v>Account and access</x:v>
      </x:c>
      <x:c r="C41" s="30" t="str">
        <x:v>Barangay admin</x:v>
      </x:c>
      <x:c r="D41" s="31" t="str">
        <x:v>Log in to the assigned barangay workspace</x:v>
      </x:c>
      <x:c r="E41" s="31" t="str">
        <x:v>An approved active barangay admin account exists.</x:v>
      </x:c>
      <x:c r="F41" s="31" t="str">
        <x:v>1. Open the Barangay login path.
2. Enter valid credentials.
3. Open reports and team pages.</x:v>
      </x:c>
      <x:c r="G41" s="31" t="str">
        <x:v>Active admin credentials for one test barangay</x:v>
      </x:c>
      <x:c r="H41" s="31" t="str">
        <x:v>The account opens its workspace and sees only its assigned barangay data.</x:v>
      </x:c>
      <x:c r="I41" s="28" t="str"/>
      <x:c r="J41" s="29" t="str">
        <x:v>Not Executed</x:v>
      </x:c>
    </x:row>
    <x:row r="42" ht="52" customHeight="1">
      <x:c r="A42" s="27" t="str">
        <x:v>BAR-AUTH-02</x:v>
      </x:c>
      <x:c r="B42" s="27" t="str">
        <x:v>Account and access</x:v>
      </x:c>
      <x:c r="C42" s="27" t="str">
        <x:v>Barangay dispatcher</x:v>
      </x:c>
      <x:c r="D42" s="26" t="str">
        <x:v>Use dispatcher access and reject another barangay scope</x:v>
      </x:c>
      <x:c r="E42" s="26" t="str">
        <x:v>Dispatcher accounts exist in two barangays.</x:v>
      </x:c>
      <x:c r="F42" s="26" t="str">
        <x:v>1. Sign in as a dispatcher.
2. Open reports and assistance queues.
3. Attempt to access a report from the other barangay.</x:v>
      </x:c>
      <x:c r="G42" s="26" t="str">
        <x:v>Dispatcher account and cross-barangay report</x:v>
      </x:c>
      <x:c r="H42" s="26" t="str">
        <x:v>The dispatcher can use permitted own-barangay queues; another barangay's records are not exposed.</x:v>
      </x:c>
      <x:c r="I42" s="28" t="str"/>
      <x:c r="J42" s="29" t="str">
        <x:v>Not Executed</x:v>
      </x:c>
    </x:row>
    <x:row r="43" ht="65" customHeight="1">
      <x:c r="A43" s="30" t="str">
        <x:v>BAR-AUTH-03</x:v>
      </x:c>
      <x:c r="B43" s="30" t="str">
        <x:v>Account and access</x:v>
      </x:c>
      <x:c r="C43" s="30" t="str">
        <x:v>Barangay user</x:v>
      </x:c>
      <x:c r="D43" s="31" t="str">
        <x:v>Reset password by email OTP</x:v>
      </x:c>
      <x:c r="E43" s="31" t="str">
        <x:v>The test account has a reachable registered email.</x:v>
      </x:c>
      <x:c r="F43" s="31" t="str">
        <x:v>1. Select Forgot password.
2. Choose Email and request a code.
3. Enter the code and a new password.
4. Sign in with the new password.</x:v>
      </x:c>
      <x:c r="G43" s="31" t="str">
        <x:v>Registered email, email OTP, new password</x:v>
      </x:c>
      <x:c r="H43" s="31" t="str">
        <x:v>The password resets and the new credential authenticates the same account and role.</x:v>
      </x:c>
      <x:c r="I43" s="28" t="str"/>
      <x:c r="J43" s="29" t="str">
        <x:v>Not Executed</x:v>
      </x:c>
    </x:row>
    <x:row r="44" ht="65" customHeight="1">
      <x:c r="A44" s="27" t="str">
        <x:v>BAR-AUTH-04</x:v>
      </x:c>
      <x:c r="B44" s="27" t="str">
        <x:v>Account and access</x:v>
      </x:c>
      <x:c r="C44" s="27" t="str">
        <x:v>Barangay user</x:v>
      </x:c>
      <x:c r="D44" s="26" t="str">
        <x:v>Reset password by mobile SMS OTP</x:v>
      </x:c>
      <x:c r="E44" s="26" t="str">
        <x:v>The test account has a reachable saved mobile and SMS is available.</x:v>
      </x:c>
      <x:c r="F44" s="26" t="str">
        <x:v>1. Select Forgot password.
2. Choose Mobile SMS and request a code.
3. Enter the code and a new password.
4. Sign in with the new password.</x:v>
      </x:c>
      <x:c r="G44" s="26" t="str">
        <x:v>Registered email, saved mobile, SMS OTP</x:v>
      </x:c>
      <x:c r="H44" s="26" t="str">
        <x:v>The code goes to the saved number and the password resets successfully.</x:v>
      </x:c>
      <x:c r="I44" s="28" t="str"/>
      <x:c r="J44" s="29" t="str">
        <x:v>Not Executed</x:v>
      </x:c>
    </x:row>
    <x:row r="45" ht="52" customHeight="1">
      <x:c r="A45" s="30" t="str">
        <x:v>BAR-AUTH-05</x:v>
      </x:c>
      <x:c r="B45" s="30" t="str">
        <x:v>Account and access</x:v>
      </x:c>
      <x:c r="C45" s="30" t="str">
        <x:v>Barangay admin</x:v>
      </x:c>
      <x:c r="D45" s="31" t="str">
        <x:v>Prevent a second administrator for an approved barangay</x:v>
      </x:c>
      <x:c r="E45" s="31" t="str">
        <x:v>A verified active administrator already exists for the selected barangay.</x:v>
      </x:c>
      <x:c r="F45" s="31" t="str">
        <x:v>1. Open barangay account registration.
2. Select the barangay with the verified admin.
3. Submit valid new account details.</x:v>
      </x:c>
      <x:c r="G45" s="31" t="str">
        <x:v>Existing verified barangay and unique second-admin email</x:v>
      </x:c>
      <x:c r="H45" s="31" t="str">
        <x:v>The barangay is unavailable or registration is rejected; no second admin is created.</x:v>
      </x:c>
      <x:c r="I45" s="28" t="str"/>
      <x:c r="J45" s="29" t="str">
        <x:v>Not Executed</x:v>
      </x:c>
    </x:row>
    <x:row r="46" ht="65" customHeight="1">
      <x:c r="A46" s="27" t="str">
        <x:v>BAR-AUTH-06</x:v>
      </x:c>
      <x:c r="B46" s="27" t="str">
        <x:v>Account and access</x:v>
      </x:c>
      <x:c r="C46" s="27" t="str">
        <x:v>Barangay admin applicant</x:v>
      </x:c>
      <x:c r="D46" s="26" t="str">
        <x:v>Register the first Barangay admin account</x:v>
      </x:c>
      <x:c r="E46" s="26" t="str">
        <x:v>The selected barangay is eligible and no verified admin account exists for it.</x:v>
      </x:c>
      <x:c r="F46" s="26" t="str">
        <x:v>1. Open account registration and enter valid details.
2. Select the eligible barangay and request the email OTP.
3. Verify the code and continue to the Barangay Account Request.
4. Submit the request.</x:v>
      </x:c>
      <x:c r="G46" s="26" t="str">
        <x:v>Unique applicant details, eligible barangay, valid email OTP</x:v>
      </x:c>
      <x:c r="H46" s="26" t="str">
        <x:v>Email verification succeeds, the request is submitted for review, and access remains pending until approval.</x:v>
      </x:c>
      <x:c r="I46" s="28" t="str"/>
      <x:c r="J46" s="29" t="str">
        <x:v>Not Executed</x:v>
      </x:c>
    </x:row>
    <x:row r="47" ht="52" customHeight="1">
      <x:c r="A47" s="30" t="str">
        <x:v>BAR-AUTH-07</x:v>
      </x:c>
      <x:c r="B47" s="30" t="str">
        <x:v>Account and access</x:v>
      </x:c>
      <x:c r="C47" s="30" t="str">
        <x:v>Barangay admin applicant</x:v>
      </x:c>
      <x:c r="D47" s="31" t="str">
        <x:v>Reject an invalid Barangay registration OTP</x:v>
      </x:c>
      <x:c r="E47" s="31" t="str">
        <x:v>A registration code was sent to the applicant email.</x:v>
      </x:c>
      <x:c r="F47" s="31" t="str">
        <x:v>1. Enter an incorrect or expired OTP.
2. Submit verification.
3. Request a fresh code and verify with the current code.</x:v>
      </x:c>
      <x:c r="G47" s="31" t="str">
        <x:v>Incorrect, expired, and current email OTPs</x:v>
      </x:c>
      <x:c r="H47" s="31" t="str">
        <x:v>Invalid codes are rejected and only a valid current code advances registration.</x:v>
      </x:c>
      <x:c r="I47" s="28" t="str"/>
      <x:c r="J47" s="29" t="str">
        <x:v>Not Executed</x:v>
      </x:c>
    </x:row>
    <x:row r="48" ht="65" customHeight="1">
      <x:c r="A48" s="27" t="str">
        <x:v>BAR-TEAM-01</x:v>
      </x:c>
      <x:c r="B48" s="27" t="str">
        <x:v>Team management</x:v>
      </x:c>
      <x:c r="C48" s="27" t="str">
        <x:v>Barangay admin</x:v>
      </x:c>
      <x:c r="D48" s="26" t="str">
        <x:v>Add a team member with a permitted role</x:v>
      </x:c>
      <x:c r="E48" s="26" t="str">
        <x:v>The administrator is signed in and the barangay is active.</x:v>
      </x:c>
      <x:c r="F48" s="26" t="str">
        <x:v>1. Open Team.
2. Select Add Member.
3. Enter unique details and choose a role.
4. Save and reopen the list.</x:v>
      </x:c>
      <x:c r="G48" s="26" t="str">
        <x:v>Unique name, email, phone, permitted role</x:v>
      </x:c>
      <x:c r="H48" s="26" t="str">
        <x:v>The member is created once in the admin's barangay with the selected role.</x:v>
      </x:c>
      <x:c r="I48" s="28" t="str"/>
      <x:c r="J48" s="29" t="str">
        <x:v>Not Executed</x:v>
      </x:c>
    </x:row>
    <x:row r="49" ht="52" customHeight="1">
      <x:c r="A49" s="30" t="str">
        <x:v>BAR-TEAM-02</x:v>
      </x:c>
      <x:c r="B49" s="30" t="str">
        <x:v>Team management</x:v>
      </x:c>
      <x:c r="C49" s="30" t="str">
        <x:v>Barangay admin</x:v>
      </x:c>
      <x:c r="D49" s="31" t="str">
        <x:v>Reject duplicate or incomplete member details</x:v>
      </x:c>
      <x:c r="E49" s="31" t="str">
        <x:v>The team contains an existing account and the admin is signed in.</x:v>
      </x:c>
      <x:c r="F49" s="31" t="str">
        <x:v>1. Open Add Member.
2. Submit missing required information.
3. Try the existing email or username.</x:v>
      </x:c>
      <x:c r="G49" s="31" t="str">
        <x:v>Existing email/username and incomplete details</x:v>
      </x:c>
      <x:c r="H49" s="31" t="str">
        <x:v>Invalid or duplicate data is rejected and existing members remain unchanged.</x:v>
      </x:c>
      <x:c r="I49" s="28" t="str"/>
      <x:c r="J49" s="29" t="str">
        <x:v>Not Executed</x:v>
      </x:c>
    </x:row>
    <x:row r="50" ht="52" customHeight="1">
      <x:c r="A50" s="27" t="str">
        <x:v>BAR-TEAM-03</x:v>
      </x:c>
      <x:c r="B50" s="27" t="str">
        <x:v>Team management</x:v>
      </x:c>
      <x:c r="C50" s="27" t="str">
        <x:v>Barangay dispatcher or responder</x:v>
      </x:c>
      <x:c r="D50" s="26" t="str">
        <x:v>Prevent non-admin member creation</x:v>
      </x:c>
      <x:c r="E50" s="26" t="str">
        <x:v>A dispatcher or responder account is signed in.</x:v>
      </x:c>
      <x:c r="F50" s="26" t="str">
        <x:v>1. Open Team.
2. Try adding or changing a member.
3. Attempt the action through any available direct route.</x:v>
      </x:c>
      <x:c r="G50" s="26" t="str">
        <x:v>Non-admin barangay account</x:v>
      </x:c>
      <x:c r="H50" s="26" t="str">
        <x:v>Member creation and administrative changes are unavailable or rejected.</x:v>
      </x:c>
      <x:c r="I50" s="28" t="str"/>
      <x:c r="J50" s="29" t="str">
        <x:v>Not Executed</x:v>
      </x:c>
    </x:row>
    <x:row r="51" ht="52" customHeight="1">
      <x:c r="A51" s="30" t="str">
        <x:v>BAR-TEAM-04</x:v>
      </x:c>
      <x:c r="B51" s="30" t="str">
        <x:v>Team management</x:v>
      </x:c>
      <x:c r="C51" s="30" t="str">
        <x:v>Barangay admin</x:v>
      </x:c>
      <x:c r="D51" s="31" t="str">
        <x:v>Update a member role or account status</x:v>
      </x:c>
      <x:c r="E51" s="31" t="str">
        <x:v>An existing team member is available.</x:v>
      </x:c>
      <x:c r="F51" s="31" t="str">
        <x:v>1. Open the target member record.
2. Change an allowed role or active status.
3. Save and verify access.</x:v>
      </x:c>
      <x:c r="G51" s="31" t="str">
        <x:v>Existing member and new role/status</x:v>
      </x:c>
      <x:c r="H51" s="31" t="str">
        <x:v>The update persists and subsequent access matches the member's role/status.</x:v>
      </x:c>
      <x:c r="I51" s="28" t="str"/>
      <x:c r="J51" s="29" t="str">
        <x:v>Not Executed</x:v>
      </x:c>
    </x:row>
    <x:row r="52" ht="52" customHeight="1">
      <x:c r="A52" s="27" t="str">
        <x:v>BAR-TEAM-05</x:v>
      </x:c>
      <x:c r="B52" s="27" t="str">
        <x:v>Account requests</x:v>
      </x:c>
      <x:c r="C52" s="27" t="str">
        <x:v>Barangay admin</x:v>
      </x:c>
      <x:c r="D52" s="26" t="str">
        <x:v>Submit and track Barangay Account Request</x:v>
      </x:c>
      <x:c r="E52" s="26" t="str">
        <x:v>The request is pending or needs correction.</x:v>
      </x:c>
      <x:c r="F52" s="26" t="str">
        <x:v>1. Open the account request page.
2. Enter required information and submit or correct the request.
3. Reopen the page.</x:v>
      </x:c>
      <x:c r="G52" s="26" t="str">
        <x:v>Required request details and correction note if requested</x:v>
      </x:c>
      <x:c r="H52" s="26" t="str">
        <x:v>The request state and submitted details are visible and match the action taken.</x:v>
      </x:c>
      <x:c r="I52" s="28" t="str"/>
      <x:c r="J52" s="29" t="str">
        <x:v>Not Executed</x:v>
      </x:c>
    </x:row>
    <x:row r="53" ht="52" customHeight="1">
      <x:c r="A53" s="30" t="str">
        <x:v>BAR-TEAM-06</x:v>
      </x:c>
      <x:c r="B53" s="30" t="str">
        <x:v>Account requests</x:v>
      </x:c>
      <x:c r="C53" s="30" t="str">
        <x:v>Barangay admin</x:v>
      </x:c>
      <x:c r="D53" s="31" t="str">
        <x:v>Request activation after access is deactivated</x:v>
      </x:c>
      <x:c r="E53" s="31" t="str">
        <x:v>An approved barangay account is deactivated.</x:v>
      </x:c>
      <x:c r="F53" s="31" t="str">
        <x:v>1. Sign in as the administrator.
2. Open account request settings.
3. Submit an activation request and review its state.</x:v>
      </x:c>
      <x:c r="G53" s="31" t="str">
        <x:v>Approved deactivated barangay</x:v>
      </x:c>
      <x:c r="H53" s="31" t="str">
        <x:v>The request is submitted for MDRRMO review and access remains blocked until approval.</x:v>
      </x:c>
      <x:c r="I53" s="28" t="str"/>
      <x:c r="J53" s="29" t="str">
        <x:v>Not Executed</x:v>
      </x:c>
    </x:row>
    <x:row r="54" ht="52" customHeight="1">
      <x:c r="A54" s="27" t="str">
        <x:v>BAR-INC-01</x:v>
      </x:c>
      <x:c r="B54" s="27" t="str">
        <x:v>Incident assessment and dispatch</x:v>
      </x:c>
      <x:c r="C54" s="27" t="str">
        <x:v>Barangay dispatcher</x:v>
      </x:c>
      <x:c r="D54" s="26" t="str">
        <x:v>Load and filter the barangay incident queue</x:v>
      </x:c>
      <x:c r="E54" s="26" t="str">
        <x:v>Reports exist for the signed-in and another barangay.</x:v>
      </x:c>
      <x:c r="F54" s="26" t="str">
        <x:v>1. Open Reports.
2. Apply available status/category filters.
3. Refresh the queue.</x:v>
      </x:c>
      <x:c r="G54" s="26" t="str">
        <x:v>Own-barangay and other-barangay reports</x:v>
      </x:c>
      <x:c r="H54" s="26" t="str">
        <x:v>Eligible own-barangay reports appear and out-of-scope records are excluded.</x:v>
      </x:c>
      <x:c r="I54" s="28" t="str"/>
      <x:c r="J54" s="29" t="str">
        <x:v>Not Executed</x:v>
      </x:c>
    </x:row>
    <x:row r="55" ht="52" customHeight="1">
      <x:c r="A55" s="30" t="str">
        <x:v>BAR-INC-02</x:v>
      </x:c>
      <x:c r="B55" s="30" t="str">
        <x:v>Incident assessment and dispatch</x:v>
      </x:c>
      <x:c r="C55" s="30" t="str">
        <x:v>Barangay dispatcher</x:v>
      </x:c>
      <x:c r="D55" s="31" t="str">
        <x:v>Review report location, details, and evidence</x:v>
      </x:c>
      <x:c r="E55" s="31" t="str">
        <x:v>A report contains location and uploaded proof.</x:v>
      </x:c>
      <x:c r="F55" s="31" t="str">
        <x:v>1. Select a report.
2. Review map, details, timeline, and evidence.
3. Open and close a proof preview.</x:v>
      </x:c>
      <x:c r="G55" s="31" t="str">
        <x:v>Report with coordinates and photo/video</x:v>
      </x:c>
      <x:c r="H55" s="31" t="str">
        <x:v>The detail view matches the report and evidence can be inspected.</x:v>
      </x:c>
      <x:c r="I55" s="28" t="str"/>
      <x:c r="J55" s="29" t="str">
        <x:v>Not Executed</x:v>
      </x:c>
    </x:row>
    <x:row r="56" ht="52" customHeight="1">
      <x:c r="A56" s="27" t="str">
        <x:v>BAR-INC-03</x:v>
      </x:c>
      <x:c r="B56" s="27" t="str">
        <x:v>Incident assessment and dispatch</x:v>
      </x:c>
      <x:c r="C56" s="27" t="str">
        <x:v>Barangay dispatcher</x:v>
      </x:c>
      <x:c r="D56" s="26" t="str">
        <x:v>Classify an incident and save assessment</x:v>
      </x:c>
      <x:c r="E56" s="26" t="str">
        <x:v>A pending report is open.</x:v>
      </x:c>
      <x:c r="F56" s="26" t="str">
        <x:v>1. Choose available classification/severity controls.
2. Add assessment notes if requested.
3. Save and reopen the report.</x:v>
      </x:c>
      <x:c r="G56" s="26" t="str">
        <x:v>Test incident type, severity, assessment note</x:v>
      </x:c>
      <x:c r="H56" s="26" t="str">
        <x:v>Classification and notes persist and are visible to authorized users.</x:v>
      </x:c>
      <x:c r="I56" s="28" t="str"/>
      <x:c r="J56" s="29" t="str">
        <x:v>Not Executed</x:v>
      </x:c>
    </x:row>
    <x:row r="57" ht="52" customHeight="1">
      <x:c r="A57" s="30" t="str">
        <x:v>BAR-INC-04</x:v>
      </x:c>
      <x:c r="B57" s="30" t="str">
        <x:v>Incident assessment and dispatch</x:v>
      </x:c>
      <x:c r="C57" s="30" t="str">
        <x:v>Barangay dispatcher</x:v>
      </x:c>
      <x:c r="D57" s="31" t="str">
        <x:v>Dispatch an active response unit</x:v>
      </x:c>
      <x:c r="E57" s="31" t="str">
        <x:v>A roster-ready unit is active today and the report is eligible.</x:v>
      </x:c>
      <x:c r="F57" s="31" t="str">
        <x:v>1. Open report dispatch.
2. Choose the active unit and confirm.
3. Check the responder account and report timeline.</x:v>
      </x:c>
      <x:c r="G57" s="31" t="str">
        <x:v>Eligible report and active unit with leader</x:v>
      </x:c>
      <x:c r="H57" s="31" t="str">
        <x:v>Dispatch is recorded, the assigned responder receives it, and the timeline reflects assignment.</x:v>
      </x:c>
      <x:c r="I57" s="28" t="str"/>
      <x:c r="J57" s="29" t="str">
        <x:v>Not Executed</x:v>
      </x:c>
    </x:row>
    <x:row r="58" ht="52" customHeight="1">
      <x:c r="A58" s="27" t="str">
        <x:v>BAR-INC-05</x:v>
      </x:c>
      <x:c r="B58" s="27" t="str">
        <x:v>Incident assessment and dispatch</x:v>
      </x:c>
      <x:c r="C58" s="27" t="str">
        <x:v>Barangay dispatcher</x:v>
      </x:c>
      <x:c r="D58" s="26" t="str">
        <x:v>Prevent dispatch to an inactive or unavailable unit</x:v>
      </x:c>
      <x:c r="E58" s="26" t="str">
        <x:v>The barangay has active and inactive/unavailable units.</x:v>
      </x:c>
      <x:c r="F58" s="26" t="str">
        <x:v>1. Open the dispatch unit selector.
2. Review available choices.
3. Attempt dispatch to a unit not active today.</x:v>
      </x:c>
      <x:c r="G58" s="26" t="str">
        <x:v>Inactive-today and unavailable units</x:v>
      </x:c>
      <x:c r="H58" s="26" t="str">
        <x:v>Only dispatchable active units can be assigned.</x:v>
      </x:c>
      <x:c r="I58" s="28" t="str"/>
      <x:c r="J58" s="29" t="str">
        <x:v>Not Executed</x:v>
      </x:c>
    </x:row>
    <x:row r="59" ht="52" customHeight="1">
      <x:c r="A59" s="30" t="str">
        <x:v>BAR-INC-06</x:v>
      </x:c>
      <x:c r="B59" s="30" t="str">
        <x:v>Incident assessment and dispatch</x:v>
      </x:c>
      <x:c r="C59" s="30" t="str">
        <x:v>Barangay dispatcher</x:v>
      </x:c>
      <x:c r="D59" s="31" t="str">
        <x:v>Escalate an incident beyond barangay capacity</x:v>
      </x:c>
      <x:c r="E59" s="31" t="str">
        <x:v>The incident needs resources beyond local capability.</x:v>
      </x:c>
      <x:c r="F59" s="31" t="str">
        <x:v>1. Open the report.
2. Choose Escalate and enter justification.
3. Submit and verify the MDRRMO queue.</x:v>
      </x:c>
      <x:c r="G59" s="31" t="str">
        <x:v>Report ID and non-empty justification</x:v>
      </x:c>
      <x:c r="H59" s="31" t="str">
        <x:v>Escalation is recorded with justification and appears in the authorized MDRRMO queue.</x:v>
      </x:c>
      <x:c r="I59" s="28" t="str"/>
      <x:c r="J59" s="29" t="str">
        <x:v>Not Executed</x:v>
      </x:c>
    </x:row>
    <x:row r="60" ht="52" customHeight="1">
      <x:c r="A60" s="27" t="str">
        <x:v>BAR-INC-07</x:v>
      </x:c>
      <x:c r="B60" s="27" t="str">
        <x:v>Incident assessment and dispatch</x:v>
      </x:c>
      <x:c r="C60" s="27" t="str">
        <x:v>Barangay responder / team leader</x:v>
      </x:c>
      <x:c r="D60" s="26" t="str">
        <x:v>Receive and accept a dispatched incident</x:v>
      </x:c>
      <x:c r="E60" s="26" t="str">
        <x:v>The responder leads an active roster-ready unit and has a pending dispatch.</x:v>
      </x:c>
      <x:c r="F60" s="26" t="str">
        <x:v>1. Open the responder workspace.
2. Open the assigned dispatch.
3. Select Accept dispatch.</x:v>
      </x:c>
      <x:c r="G60" s="26" t="str">
        <x:v>Pending dispatch and unit with eligible crew</x:v>
      </x:c>
      <x:c r="H60" s="26" t="str">
        <x:v>The assigned responder sees the incident and acceptance opens crew selection.</x:v>
      </x:c>
      <x:c r="I60" s="28" t="str"/>
      <x:c r="J60" s="29" t="str">
        <x:v>Not Executed</x:v>
      </x:c>
    </x:row>
    <x:row r="61" ht="52" customHeight="1">
      <x:c r="A61" s="30" t="str">
        <x:v>BAR-INC-08</x:v>
      </x:c>
      <x:c r="B61" s="30" t="str">
        <x:v>Incident assessment and dispatch</x:v>
      </x:c>
      <x:c r="C61" s="30" t="str">
        <x:v>Barangay responder / team leader</x:v>
      </x:c>
      <x:c r="D61" s="31" t="str">
        <x:v>Require one driver and one first aider when accepting</x:v>
      </x:c>
      <x:c r="E61" s="31" t="str">
        <x:v>A pending dispatch exists and the roster has driver and first-aider members.</x:v>
      </x:c>
      <x:c r="F61" s="31" t="str">
        <x:v>1. Accept the dispatch.
2. Try submitting without a driver or first aider.
3. Select at least one of each and submit.</x:v>
      </x:c>
      <x:c r="G61" s="31" t="str">
        <x:v>Crew with driver and first-aider roles</x:v>
      </x:c>
      <x:c r="H61" s="31" t="str">
        <x:v>Incomplete selection is blocked; a valid minimum crew is accepted.</x:v>
      </x:c>
      <x:c r="I61" s="28" t="str"/>
      <x:c r="J61" s="29" t="str">
        <x:v>Not Executed</x:v>
      </x:c>
    </x:row>
    <x:row r="62" ht="52" customHeight="1">
      <x:c r="A62" s="27" t="str">
        <x:v>BAR-INC-09</x:v>
      </x:c>
      <x:c r="B62" s="27" t="str">
        <x:v>Incident assessment and dispatch</x:v>
      </x:c>
      <x:c r="C62" s="27" t="str">
        <x:v>Barangay responder</x:v>
      </x:c>
      <x:c r="D62" s="26" t="str">
        <x:v>Update response status and arrival</x:v>
      </x:c>
      <x:c r="E62" s="26" t="str">
        <x:v>A dispatch is accepted and location permission is available.</x:v>
      </x:c>
      <x:c r="F62" s="26" t="str">
        <x:v>1. Mark En Route.
2. Travel to test incident coordinates with GPS enabled.
3. Confirm arrival or use supported manual arrival.</x:v>
      </x:c>
      <x:c r="G62" s="26" t="str">
        <x:v>Accepted report and GPS fix near incident</x:v>
      </x:c>
      <x:c r="H62" s="26" t="str">
        <x:v>Response status and arrival time/location are recorded and appear in report tracking.</x:v>
      </x:c>
      <x:c r="I62" s="28" t="str"/>
      <x:c r="J62" s="29" t="str">
        <x:v>Not Executed</x:v>
      </x:c>
    </x:row>
    <x:row r="63" ht="65" customHeight="1">
      <x:c r="A63" s="30" t="str">
        <x:v>BAR-INC-10</x:v>
      </x:c>
      <x:c r="B63" s="30" t="str">
        <x:v>Incident assessment and dispatch</x:v>
      </x:c>
      <x:c r="C63" s="30" t="str">
        <x:v>Barangay responder</x:v>
      </x:c>
      <x:c r="D63" s="31" t="str">
        <x:v>Close a report with resolution notes and proof</x:v>
      </x:c>
      <x:c r="E63" s="31" t="str">
        <x:v>The responder is assigned and has reached the incident.</x:v>
      </x:c>
      <x:c r="F63" s="31" t="str">
        <x:v>1. Open the report.
2. Enter the required resolution summary.
3. Attach field evidence if required and close.
4. Review resident tracking.</x:v>
      </x:c>
      <x:c r="G63" s="31" t="str">
        <x:v>Resolution summary and test photo/video</x:v>
      </x:c>
      <x:c r="H63" s="31" t="str">
        <x:v>The report closes with notes/proof and the resident sees the resolved state.</x:v>
      </x:c>
      <x:c r="I63" s="28" t="str"/>
      <x:c r="J63" s="29" t="str">
        <x:v>Not Executed</x:v>
      </x:c>
    </x:row>
    <x:row r="64" ht="52" customHeight="1">
      <x:c r="A64" s="27" t="str">
        <x:v>BAR-INC-11</x:v>
      </x:c>
      <x:c r="B64" s="27" t="str">
        <x:v>Incident assessment and dispatch</x:v>
      </x:c>
      <x:c r="C64" s="27" t="str">
        <x:v>Barangay responder</x:v>
      </x:c>
      <x:c r="D64" s="26" t="str">
        <x:v>Add field media to an active report</x:v>
      </x:c>
      <x:c r="E64" s="26" t="str">
        <x:v>The responder is assigned to an unresolved report.</x:v>
      </x:c>
      <x:c r="F64" s="26" t="str">
        <x:v>1. Open field media controls.
2. Choose or capture photo/video.
3. Upload and reopen the report.</x:v>
      </x:c>
      <x:c r="G64" s="26" t="str">
        <x:v>Test field photo or video</x:v>
      </x:c>
      <x:c r="H64" s="26" t="str">
        <x:v>The media is associated with the correct report and is visible to authorized viewers.</x:v>
      </x:c>
      <x:c r="I64" s="28" t="str"/>
      <x:c r="J64" s="29" t="str">
        <x:v>Not Executed</x:v>
      </x:c>
    </x:row>
    <x:row r="65" ht="52" customHeight="1">
      <x:c r="A65" s="30" t="str">
        <x:v>BAR-INC-12</x:v>
      </x:c>
      <x:c r="B65" s="30" t="str">
        <x:v>Incident assessment and dispatch</x:v>
      </x:c>
      <x:c r="C65" s="30" t="str">
        <x:v>Barangay dispatcher</x:v>
      </x:c>
      <x:c r="D65" s="31" t="str">
        <x:v>Review a resolution document</x:v>
      </x:c>
      <x:c r="E65" s="31" t="str">
        <x:v>A barangay report is resolved and PDF generation is available.</x:v>
      </x:c>
      <x:c r="F65" s="31" t="str">
        <x:v>1. Open the resolved report.
2. Choose the resolution document action.
3. Open the resulting file.</x:v>
      </x:c>
      <x:c r="G65" s="31" t="str">
        <x:v>Resolved report with notes and timeline</x:v>
      </x:c>
      <x:c r="H65" s="31" t="str">
        <x:v>A readable resolution document is generated for the selected report.</x:v>
      </x:c>
      <x:c r="I65" s="28" t="str"/>
      <x:c r="J65" s="29" t="str">
        <x:v>Not Executed</x:v>
      </x:c>
    </x:row>
    <x:row r="66" ht="52" customHeight="1">
      <x:c r="A66" s="27" t="str">
        <x:v>BAR-INC-13</x:v>
      </x:c>
      <x:c r="B66" s="27" t="str">
        <x:v>Incident assessment and dispatch</x:v>
      </x:c>
      <x:c r="C66" s="27" t="str">
        <x:v>Barangay dispatcher</x:v>
      </x:c>
      <x:c r="D66" s="26" t="str">
        <x:v>Flag an invalid or inconclusive report</x:v>
      </x:c>
      <x:c r="E66" s="26" t="str">
        <x:v>A report is suspected to be invalid or inconclusive.</x:v>
      </x:c>
      <x:c r="F66" s="26" t="str">
        <x:v>1. Open the report review action.
2. Choose the outcome and enter its reason.
3. Submit and inspect the state.</x:v>
      </x:c>
      <x:c r="G66" s="26" t="str">
        <x:v>False-report or inconclusive reason</x:v>
      </x:c>
      <x:c r="H66" s="26" t="str">
        <x:v>The outcome and reason are saved and the resident receives the appropriate notice.</x:v>
      </x:c>
      <x:c r="I66" s="28" t="str"/>
      <x:c r="J66" s="29" t="str">
        <x:v>Not Executed</x:v>
      </x:c>
    </x:row>
    <x:row r="67" ht="52" customHeight="1">
      <x:c r="A67" s="30" t="str">
        <x:v>BAR-ASSIST-01</x:v>
      </x:c>
      <x:c r="B67" s="30" t="str">
        <x:v>Assistance requests</x:v>
      </x:c>
      <x:c r="C67" s="30" t="str">
        <x:v>Barangay responder</x:v>
      </x:c>
      <x:c r="D67" s="31" t="str">
        <x:v>Request goods or additional responders</x:v>
      </x:c>
      <x:c r="E67" s="31" t="str">
        <x:v>The responder is signed in and has a response context.</x:v>
      </x:c>
      <x:c r="F67" s="31" t="str">
        <x:v>1. Open Assistance Request.
2. Select request type and enter justification.
3. Submit and open My Requests.</x:v>
      </x:c>
      <x:c r="G67" s="31" t="str">
        <x:v>Relief goods or responders with justification</x:v>
      </x:c>
      <x:c r="H67" s="31" t="str">
        <x:v>The request is stored against the correct responder/report and appears in My Requests.</x:v>
      </x:c>
      <x:c r="I67" s="28" t="str"/>
      <x:c r="J67" s="29" t="str">
        <x:v>Not Executed</x:v>
      </x:c>
    </x:row>
    <x:row r="68" ht="52" customHeight="1">
      <x:c r="A68" s="27" t="str">
        <x:v>BAR-ASSIST-02</x:v>
      </x:c>
      <x:c r="B68" s="27" t="str">
        <x:v>Assistance requests</x:v>
      </x:c>
      <x:c r="C68" s="27" t="str">
        <x:v>Barangay responder</x:v>
      </x:c>
      <x:c r="D68" s="26" t="str">
        <x:v>Edit a pending assistance request</x:v>
      </x:c>
      <x:c r="E68" s="26" t="str">
        <x:v>The responder has an editable pending request.</x:v>
      </x:c>
      <x:c r="F68" s="26" t="str">
        <x:v>1. Open My Requests.
2. Edit request details.
3. Save and reopen.</x:v>
      </x:c>
      <x:c r="G68" s="26" t="str">
        <x:v>Pending request with revised quantity/reason</x:v>
      </x:c>
      <x:c r="H68" s="26" t="str">
        <x:v>The update is saved and the request remains pending review.</x:v>
      </x:c>
      <x:c r="I68" s="28" t="str"/>
      <x:c r="J68" s="29" t="str">
        <x:v>Not Executed</x:v>
      </x:c>
    </x:row>
    <x:row r="69" ht="65" customHeight="1">
      <x:c r="A69" s="30" t="str">
        <x:v>BAR-ASSIST-03</x:v>
      </x:c>
      <x:c r="B69" s="30" t="str">
        <x:v>Assistance requests</x:v>
      </x:c>
      <x:c r="C69" s="30" t="str">
        <x:v>Barangay dispatcher</x:v>
      </x:c>
      <x:c r="D69" s="31" t="str">
        <x:v>Decide an assistance request</x:v>
      </x:c>
      <x:c r="E69" s="31" t="str">
        <x:v>A pending request appears in the dispatcher queue.</x:v>
      </x:c>
      <x:c r="F69" s="31" t="str">
        <x:v>1. Open Assistance Requests.
2. Review type, justification, and report context.
3. Approve or reject with notes.
4. Check requester view.</x:v>
      </x:c>
      <x:c r="G69" s="31" t="str">
        <x:v>Pending request and decision note</x:v>
      </x:c>
      <x:c r="H69" s="31" t="str">
        <x:v>The decision and notes are saved and the requester sees the updated status.</x:v>
      </x:c>
      <x:c r="I69" s="28" t="str"/>
      <x:c r="J69" s="29" t="str">
        <x:v>Not Executed</x:v>
      </x:c>
    </x:row>
    <x:row r="70" ht="52" customHeight="1">
      <x:c r="A70" s="27" t="str">
        <x:v>BAR-ASSIST-04</x:v>
      </x:c>
      <x:c r="B70" s="27" t="str">
        <x:v>Assistance requests</x:v>
      </x:c>
      <x:c r="C70" s="27" t="str">
        <x:v>Barangay responder</x:v>
      </x:c>
      <x:c r="D70" s="26" t="str">
        <x:v>Record team action on provided assistance</x:v>
      </x:c>
      <x:c r="E70" s="26" t="str">
        <x:v>A request has been approved or actioned.</x:v>
      </x:c>
      <x:c r="F70" s="26" t="str">
        <x:v>1. Open the request.
2. Record whether the team received or used assistance.
3. Save and reopen it.</x:v>
      </x:c>
      <x:c r="G70" s="26" t="str">
        <x:v>Approved assistance and team-action details</x:v>
      </x:c>
      <x:c r="H70" s="26" t="str">
        <x:v>Team action is recorded against the correct request and status history.</x:v>
      </x:c>
      <x:c r="I70" s="28" t="str"/>
      <x:c r="J70" s="29" t="str">
        <x:v>Not Executed</x:v>
      </x:c>
    </x:row>
    <x:row r="71" ht="65" customHeight="1">
      <x:c r="A71" s="30" t="str">
        <x:v>BAR-COMM-01</x:v>
      </x:c>
      <x:c r="B71" s="30" t="str">
        <x:v>Alerts and community operations</x:v>
      </x:c>
      <x:c r="C71" s="30" t="str">
        <x:v>Barangay admin or staff</x:v>
      </x:c>
      <x:c r="D71" s="31" t="str">
        <x:v>Publish a barangay advisory with media</x:v>
      </x:c>
      <x:c r="E71" s="31" t="str">
        <x:v>The barangay is active and media upload is available.</x:v>
      </x:c>
      <x:c r="F71" s="31" t="str">
        <x:v>1. Open Create Broadcast.
2. Choose a category and enter advisory text.
3. Attach media and publish.
4. Check the public feed.</x:v>
      </x:c>
      <x:c r="G71" s="31" t="str">
        <x:v>Safety advisory, test text, photo</x:v>
      </x:c>
      <x:c r="H71" s="31" t="str">
        <x:v>The advisory is published under the correct barangay/category with attachment visible to residents.</x:v>
      </x:c>
      <x:c r="I71" s="28" t="str"/>
      <x:c r="J71" s="29" t="str">
        <x:v>Not Executed</x:v>
      </x:c>
    </x:row>
    <x:row r="72" ht="52" customHeight="1">
      <x:c r="A72" s="27" t="str">
        <x:v>BAR-COMM-02</x:v>
      </x:c>
      <x:c r="B72" s="27" t="str">
        <x:v>Alerts and community operations</x:v>
      </x:c>
      <x:c r="C72" s="27" t="str">
        <x:v>Barangay admin or staff</x:v>
      </x:c>
      <x:c r="D72" s="26" t="str">
        <x:v>Edit or remove a barangay broadcast</x:v>
      </x:c>
      <x:c r="E72" s="26" t="str">
        <x:v>A test broadcast exists and the user can manage it.</x:v>
      </x:c>
      <x:c r="F72" s="26" t="str">
        <x:v>1. Open the broadcast.
2. Edit text or attachment and save.
3. Delete the test post if offered and confirm.</x:v>
      </x:c>
      <x:c r="G72" s="26" t="str">
        <x:v>Existing test broadcast</x:v>
      </x:c>
      <x:c r="H72" s="26" t="str">
        <x:v>Edits appear in the feed; confirmed deletion removes the post from the active feed.</x:v>
      </x:c>
      <x:c r="I72" s="28" t="str"/>
      <x:c r="J72" s="29" t="str">
        <x:v>Not Executed</x:v>
      </x:c>
    </x:row>
    <x:row r="73" ht="52" customHeight="1">
      <x:c r="A73" s="30" t="str">
        <x:v>BAR-COMM-03</x:v>
      </x:c>
      <x:c r="B73" s="30" t="str">
        <x:v>Alerts and community operations</x:v>
      </x:c>
      <x:c r="C73" s="30" t="str">
        <x:v>Barangay admin or staff</x:v>
      </x:c>
      <x:c r="D73" s="31" t="str">
        <x:v>Pin or repost an MDRRMO advisory</x:v>
      </x:c>
      <x:c r="E73" s="31" t="str">
        <x:v>An MDRRMO post is available in the barangay feed.</x:v>
      </x:c>
      <x:c r="F73" s="31" t="str">
        <x:v>1. Open the MDRRMO advisory.
2. Pin or repost it.
3. Check barangay and public feeds.</x:v>
      </x:c>
      <x:c r="G73" s="31" t="str">
        <x:v>Published MDRRMO advisory</x:v>
      </x:c>
      <x:c r="H73" s="31" t="str">
        <x:v>The post is pinned/reposted as selected and its origin/content remain clear.</x:v>
      </x:c>
      <x:c r="I73" s="28" t="str"/>
      <x:c r="J73" s="29" t="str">
        <x:v>Not Executed</x:v>
      </x:c>
    </x:row>
    <x:row r="74" ht="52" customHeight="1">
      <x:c r="A74" s="27" t="str">
        <x:v>BAR-COMM-04</x:v>
      </x:c>
      <x:c r="B74" s="27" t="str">
        <x:v>Evacuation centers</x:v>
      </x:c>
      <x:c r="C74" s="27" t="str">
        <x:v>Barangay admin or staff</x:v>
      </x:c>
      <x:c r="D74" s="26" t="str">
        <x:v>Add an evacuation center with map location</x:v>
      </x:c>
      <x:c r="E74" s="26" t="str">
        <x:v>The user is authorized and map/location services are available.</x:v>
      </x:c>
      <x:c r="F74" s="26" t="str">
        <x:v>1. Open Evacuation Centers and choose Add.
2. Enter details and set coordinates.
3. Save and reopen.</x:v>
      </x:c>
      <x:c r="G74" s="26" t="str">
        <x:v>Unique name, address, capacity, coordinates</x:v>
      </x:c>
      <x:c r="H74" s="26" t="str">
        <x:v>The center is saved once with correct barangay, details, and coordinates.</x:v>
      </x:c>
      <x:c r="I74" s="28" t="str"/>
      <x:c r="J74" s="29" t="str">
        <x:v>Not Executed</x:v>
      </x:c>
    </x:row>
    <x:row r="75" ht="52" customHeight="1">
      <x:c r="A75" s="30" t="str">
        <x:v>BAR-COMM-05</x:v>
      </x:c>
      <x:c r="B75" s="30" t="str">
        <x:v>Evacuation centers</x:v>
      </x:c>
      <x:c r="C75" s="30" t="str">
        <x:v>Barangay admin or staff</x:v>
      </x:c>
      <x:c r="D75" s="31" t="str">
        <x:v>Validate and update an evacuation center</x:v>
      </x:c>
      <x:c r="E75" s="31" t="str">
        <x:v>A center exists in the barangay.</x:v>
      </x:c>
      <x:c r="F75" s="31" t="str">
        <x:v>1. Try saving with required information missing.
2. Edit a valid center and save.
3. Refresh the list.</x:v>
      </x:c>
      <x:c r="G75" s="31" t="str">
        <x:v>Missing name/location, then revised capacity/status</x:v>
      </x:c>
      <x:c r="H75" s="31" t="str">
        <x:v>Missing information is rejected and valid edits persist.</x:v>
      </x:c>
      <x:c r="I75" s="28" t="str"/>
      <x:c r="J75" s="29" t="str">
        <x:v>Not Executed</x:v>
      </x:c>
    </x:row>
    <x:row r="76" ht="52" customHeight="1">
      <x:c r="A76" s="27" t="str">
        <x:v>BAR-COMM-06</x:v>
      </x:c>
      <x:c r="B76" s="27" t="str">
        <x:v>Hotlines</x:v>
      </x:c>
      <x:c r="C76" s="27" t="str">
        <x:v>Barangay admin or staff</x:v>
      </x:c>
      <x:c r="D76" s="26" t="str">
        <x:v>Update barangay hotline details</x:v>
      </x:c>
      <x:c r="E76" s="26" t="str">
        <x:v>A hotline record exists and the account has permission.</x:v>
      </x:c>
      <x:c r="F76" s="26" t="str">
        <x:v>1. Open Barangay Hotlines.
2. Change test contact details.
3. Save and check the resident hotline view.</x:v>
      </x:c>
      <x:c r="G76" s="26" t="str">
        <x:v>Test hotline name and valid phone number</x:v>
      </x:c>
      <x:c r="H76" s="26" t="str">
        <x:v>The update is saved and the resident view shows the new contact.</x:v>
      </x:c>
      <x:c r="I76" s="28" t="str"/>
      <x:c r="J76" s="29" t="str">
        <x:v>Not Executed</x:v>
      </x:c>
    </x:row>
    <x:row r="77" ht="52" customHeight="1">
      <x:c r="A77" s="30" t="str">
        <x:v>BAR-COMM-07</x:v>
      </x:c>
      <x:c r="B77" s="30" t="str">
        <x:v>Analytics</x:v>
      </x:c>
      <x:c r="C77" s="30" t="str">
        <x:v>Barangay admin</x:v>
      </x:c>
      <x:c r="D77" s="31" t="str">
        <x:v>Review barangay report analytics</x:v>
      </x:c>
      <x:c r="E77" s="31" t="str">
        <x:v>The barangay has reports in multiple states and periods.</x:v>
      </x:c>
      <x:c r="F77" s="31" t="str">
        <x:v>1. Open Analytics or Report Statistics.
2. Change a time/status filter.
3. Compare totals to test records.</x:v>
      </x:c>
      <x:c r="G77" s="31" t="str">
        <x:v>Known reports and date/status range</x:v>
      </x:c>
      <x:c r="H77" s="31" t="str">
        <x:v>Charts and totals reflect the selected barangay and filters.</x:v>
      </x:c>
      <x:c r="I77" s="28" t="str"/>
      <x:c r="J77" s="29" t="str">
        <x:v>Not Executed</x:v>
      </x:c>
    </x:row>
    <x:row r="78" ht="52" customHeight="1">
      <x:c r="A78" s="27" t="str">
        <x:v>BAR-COMM-08</x:v>
      </x:c>
      <x:c r="B78" s="27" t="str">
        <x:v>Resolved reports</x:v>
      </x:c>
      <x:c r="C78" s="27" t="str">
        <x:v>Barangay user</x:v>
      </x:c>
      <x:c r="D78" s="26" t="str">
        <x:v>Browse resolved reports</x:v>
      </x:c>
      <x:c r="E78" s="26" t="str">
        <x:v>At least one barangay report is resolved.</x:v>
      </x:c>
      <x:c r="F78" s="26" t="str">
        <x:v>1. Open Resolved Reports.
2. Select a report.
3. Review timeline, notes, proof, and download action.</x:v>
      </x:c>
      <x:c r="G78" s="26" t="str">
        <x:v>Resolved test report</x:v>
      </x:c>
      <x:c r="H78" s="26" t="str">
        <x:v>The list and detail show the correct final record and permitted evidence.</x:v>
      </x:c>
      <x:c r="I78" s="28" t="str"/>
      <x:c r="J78" s="29" t="str">
        <x:v>Not Executed</x:v>
      </x:c>
    </x:row>
    <x:row r="79" ht="52" customHeight="1">
      <x:c r="A79" s="30" t="str">
        <x:v>MOB-MDR-AUTH-01</x:v>
      </x:c>
      <x:c r="B79" s="30" t="str">
        <x:v>Account and access</x:v>
      </x:c>
      <x:c r="C79" s="30" t="str">
        <x:v>MDRRMO responder</x:v>
      </x:c>
      <x:c r="D79" s="31" t="str">
        <x:v>Log in to the responder workspace</x:v>
      </x:c>
      <x:c r="E79" s="31" t="str">
        <x:v>An active MDRRMO responder account exists.</x:v>
      </x:c>
      <x:c r="F79" s="31" t="str">
        <x:v>1. Open MDRRMO login.
2. Enter valid credentials.
3. Open responder home and profile.</x:v>
      </x:c>
      <x:c r="G79" s="31" t="str">
        <x:v>Active responder credentials</x:v>
      </x:c>
      <x:c r="H79" s="31" t="str">
        <x:v>The account opens the responder workspace with the correct identity.</x:v>
      </x:c>
      <x:c r="I79" s="28" t="str"/>
      <x:c r="J79" s="29" t="str">
        <x:v>Not Executed</x:v>
      </x:c>
    </x:row>
    <x:row r="80" ht="65" customHeight="1">
      <x:c r="A80" s="27" t="str">
        <x:v>MOB-MDR-AUTH-02</x:v>
      </x:c>
      <x:c r="B80" s="27" t="str">
        <x:v>Account and access</x:v>
      </x:c>
      <x:c r="C80" s="27" t="str">
        <x:v>MDRRMO responder</x:v>
      </x:c>
      <x:c r="D80" s="26" t="str">
        <x:v>Reset responder password by email OTP</x:v>
      </x:c>
      <x:c r="E80" s="26" t="str">
        <x:v>A responder account has a reachable email.</x:v>
      </x:c>
      <x:c r="F80" s="26" t="str">
        <x:v>1. Choose Forgot password.
2. Select Email and request a code.
3. Verify the code and set a new password.
4. Log in with the new password.</x:v>
      </x:c>
      <x:c r="G80" s="26" t="str">
        <x:v>Registered email, email OTP, new password</x:v>
      </x:c>
      <x:c r="H80" s="26" t="str">
        <x:v>The password reset succeeds and responder access remains attached to the account.</x:v>
      </x:c>
      <x:c r="I80" s="28" t="str"/>
      <x:c r="J80" s="29" t="str">
        <x:v>Not Executed</x:v>
      </x:c>
    </x:row>
    <x:row r="81" ht="65" customHeight="1">
      <x:c r="A81" s="30" t="str">
        <x:v>MOB-MDR-AUTH-03</x:v>
      </x:c>
      <x:c r="B81" s="30" t="str">
        <x:v>Account and access</x:v>
      </x:c>
      <x:c r="C81" s="30" t="str">
        <x:v>MDRRMO responder</x:v>
      </x:c>
      <x:c r="D81" s="31" t="str">
        <x:v>Reset responder password by mobile SMS OTP</x:v>
      </x:c>
      <x:c r="E81" s="31" t="str">
        <x:v>A responder account has a reachable mobile number.</x:v>
      </x:c>
      <x:c r="F81" s="31" t="str">
        <x:v>1. Choose Forgot password.
2. Select Mobile SMS and request a code.
3. Verify the code and set a new password.
4. Log in with the new password.</x:v>
      </x:c>
      <x:c r="G81" s="31" t="str">
        <x:v>Registered email, saved mobile, SMS OTP</x:v>
      </x:c>
      <x:c r="H81" s="31" t="str">
        <x:v>The OTP is delivered to the saved number and the new password works.</x:v>
      </x:c>
      <x:c r="I81" s="28" t="str"/>
      <x:c r="J81" s="29" t="str">
        <x:v>Not Executed</x:v>
      </x:c>
    </x:row>
    <x:row r="82" ht="52" customHeight="1">
      <x:c r="A82" s="27" t="str">
        <x:v>MOB-MDR-AUTH-04</x:v>
      </x:c>
      <x:c r="B82" s="27" t="str">
        <x:v>Account and access</x:v>
      </x:c>
      <x:c r="C82" s="27" t="str">
        <x:v>MDRRMO responder</x:v>
      </x:c>
      <x:c r="D82" s="26" t="str">
        <x:v>Update profile, specialization, password, and sign out</x:v>
      </x:c>
      <x:c r="E82" s="26" t="str">
        <x:v>A responder is signed in.</x:v>
      </x:c>
      <x:c r="F82" s="26" t="str">
        <x:v>1. Edit profile or specialization and save.
2. Change password with valid current credentials.
3. Sign out and confirm.</x:v>
      </x:c>
      <x:c r="G82" s="26" t="str">
        <x:v>Updated contact/specialization and valid password</x:v>
      </x:c>
      <x:c r="H82" s="26" t="str">
        <x:v>Permitted changes persist and sign-out ends the authenticated session.</x:v>
      </x:c>
      <x:c r="I82" s="28" t="str"/>
      <x:c r="J82" s="29" t="str">
        <x:v>Not Executed</x:v>
      </x:c>
    </x:row>
    <x:row r="83" ht="52" customHeight="1">
      <x:c r="A83" s="30" t="str">
        <x:v>MOB-MDR-AUTH-05</x:v>
      </x:c>
      <x:c r="B83" s="30" t="str">
        <x:v>Account and access</x:v>
      </x:c>
      <x:c r="C83" s="30" t="str">
        <x:v>MDRRMO responder applicant</x:v>
      </x:c>
      <x:c r="D83" s="31" t="str">
        <x:v>Open responder account access information</x:v>
      </x:c>
      <x:c r="E83" s="31" t="str">
        <x:v>The responder login screen is open and the applicant does not have an account.</x:v>
      </x:c>
      <x:c r="F83" s="31" t="str">
        <x:v>1. Choose responder access/registration.
2. Review the account setup guidance.
3. Select Back to sign in.</x:v>
      </x:c>
      <x:c r="G83" s="31" t="str">
        <x:v>No responder account</x:v>
      </x:c>
      <x:c r="H83" s="31" t="str">
        <x:v>The screen explains that an administrator creates responder accounts and returns safely to sign in.</x:v>
      </x:c>
      <x:c r="I83" s="28" t="str"/>
      <x:c r="J83" s="29" t="str">
        <x:v>Not Executed</x:v>
      </x:c>
    </x:row>
    <x:row r="84" ht="52" customHeight="1">
      <x:c r="A84" s="27" t="str">
        <x:v>MOB-MDR-RESP-01</x:v>
      </x:c>
      <x:c r="B84" s="27" t="str">
        <x:v>Field response</x:v>
      </x:c>
      <x:c r="C84" s="27" t="str">
        <x:v>MDRRMO responder</x:v>
      </x:c>
      <x:c r="D84" s="26" t="str">
        <x:v>View a newly assigned dispatch</x:v>
      </x:c>
      <x:c r="E84" s="26" t="str">
        <x:v>A dispatcher assigned a report to the responder.</x:v>
      </x:c>
      <x:c r="F84" s="26" t="str">
        <x:v>1. Open responder tasks.
2. Open the assigned dispatch.
3. Review location, report, unit, and status.</x:v>
      </x:c>
      <x:c r="G84" s="26" t="str">
        <x:v>Assigned report with coordinates</x:v>
      </x:c>
      <x:c r="H84" s="26" t="str">
        <x:v>The dispatch appears with matching report and incident information.</x:v>
      </x:c>
      <x:c r="I84" s="28" t="str"/>
      <x:c r="J84" s="29" t="str">
        <x:v>Not Executed</x:v>
      </x:c>
    </x:row>
    <x:row r="85" ht="52" customHeight="1">
      <x:c r="A85" s="30" t="str">
        <x:v>MOB-MDR-RESP-02</x:v>
      </x:c>
      <x:c r="B85" s="30" t="str">
        <x:v>Field response</x:v>
      </x:c>
      <x:c r="C85" s="30" t="str">
        <x:v>MDRRMO responder</x:v>
      </x:c>
      <x:c r="D85" s="31" t="str">
        <x:v>Accept dispatch and record crew selection</x:v>
      </x:c>
      <x:c r="E85" s="31" t="str">
        <x:v>The responder leads a unit with eligible members and has a pending task.</x:v>
      </x:c>
      <x:c r="F85" s="31" t="str">
        <x:v>1. Open the task.
2. Select Accept.
3. Choose available unit members and confirm.</x:v>
      </x:c>
      <x:c r="G85" s="31" t="str">
        <x:v>Pending task and unit roster</x:v>
      </x:c>
      <x:c r="H85" s="31" t="str">
        <x:v>The task is accepted once and selected crew is associated with the response.</x:v>
      </x:c>
      <x:c r="I85" s="28" t="str"/>
      <x:c r="J85" s="29" t="str">
        <x:v>Not Executed</x:v>
      </x:c>
    </x:row>
    <x:row r="86" ht="52" customHeight="1">
      <x:c r="A86" s="27" t="str">
        <x:v>MOB-MDR-RESP-03</x:v>
      </x:c>
      <x:c r="B86" s="27" t="str">
        <x:v>Field response</x:v>
      </x:c>
      <x:c r="C86" s="27" t="str">
        <x:v>MDRRMO responder</x:v>
      </x:c>
      <x:c r="D86" s="26" t="str">
        <x:v>Require a driver and first aider for dispatch</x:v>
      </x:c>
      <x:c r="E86" s="26" t="str">
        <x:v>A pending task exists and the unit has driver and first-aider roles.</x:v>
      </x:c>
      <x:c r="F86" s="26" t="str">
        <x:v>1. Open Accept dispatch.
2. Try submitting without a driver or first aider.
3. Select at least one of each and submit.</x:v>
      </x:c>
      <x:c r="G86" s="26" t="str">
        <x:v>Unit roster with driver and first-aider responders</x:v>
      </x:c>
      <x:c r="H86" s="26" t="str">
        <x:v>Invalid crew selection is blocked and the valid minimum crew is accepted.</x:v>
      </x:c>
      <x:c r="I86" s="28" t="str"/>
      <x:c r="J86" s="29" t="str">
        <x:v>Not Executed</x:v>
      </x:c>
    </x:row>
    <x:row r="87" ht="65" customHeight="1">
      <x:c r="A87" s="30" t="str">
        <x:v>MOB-MDR-RESP-04</x:v>
      </x:c>
      <x:c r="B87" s="30" t="str">
        <x:v>Field response</x:v>
      </x:c>
      <x:c r="C87" s="30" t="str">
        <x:v>MDRRMO responder</x:v>
      </x:c>
      <x:c r="D87" s="31" t="str">
        <x:v>Add additional members while responding</x:v>
      </x:c>
      <x:c r="E87" s="31" t="str">
        <x:v>A task is accepted and an eligible officer can be selected.</x:v>
      </x:c>
      <x:c r="F87" s="31" t="str">
        <x:v>1. Open the accepted task.
2. Select Add Members on the Move.
3. Choose an eligible member and save.
4. Review the roster.</x:v>
      </x:c>
      <x:c r="G87" s="31" t="str">
        <x:v>Eligible officer not already on the dispatch</x:v>
      </x:c>
      <x:c r="H87" s="31" t="str">
        <x:v>The member is added to the active response without replacing existing crew.</x:v>
      </x:c>
      <x:c r="I87" s="28" t="str"/>
      <x:c r="J87" s="29" t="str">
        <x:v>Not Executed</x:v>
      </x:c>
    </x:row>
    <x:row r="88" ht="52" customHeight="1">
      <x:c r="A88" s="27" t="str">
        <x:v>MOB-MDR-RESP-05</x:v>
      </x:c>
      <x:c r="B88" s="27" t="str">
        <x:v>Field response</x:v>
      </x:c>
      <x:c r="C88" s="27" t="str">
        <x:v>MDRRMO responder</x:v>
      </x:c>
      <x:c r="D88" s="26" t="str">
        <x:v>Record GPS arrival at the incident</x:v>
      </x:c>
      <x:c r="E88" s="26" t="str">
        <x:v>A task is accepted; GPS is enabled and device can reach incident coordinates.</x:v>
      </x:c>
      <x:c r="F88" s="26" t="str">
        <x:v>1. Grant location permission.
2. Bring device within the arrival radius.
3. Wait for update and review status.</x:v>
      </x:c>
      <x:c r="G88" s="26" t="str">
        <x:v>Accurate GPS fix near saved incident coordinates</x:v>
      </x:c>
      <x:c r="H88" s="26" t="str">
        <x:v>Arrival is recorded once with the accepted GPS fix and status advances appropriately.</x:v>
      </x:c>
      <x:c r="I88" s="28" t="str"/>
      <x:c r="J88" s="29" t="str">
        <x:v>Not Executed</x:v>
      </x:c>
    </x:row>
    <x:row r="89" ht="52" customHeight="1">
      <x:c r="A89" s="30" t="str">
        <x:v>MOB-MDR-RESP-06</x:v>
      </x:c>
      <x:c r="B89" s="30" t="str">
        <x:v>Field response</x:v>
      </x:c>
      <x:c r="C89" s="30" t="str">
        <x:v>MDRRMO responder</x:v>
      </x:c>
      <x:c r="D89" s="31" t="str">
        <x:v>Reject inaccurate or distant GPS arrival</x:v>
      </x:c>
      <x:c r="E89" s="31" t="str">
        <x:v>A task is accepted and device reports an inaccurate or distant fix.</x:v>
      </x:c>
      <x:c r="F89" s="31" t="str">
        <x:v>1. Keep location enabled.
2. Test a fix over the accuracy/radius threshold.
3. Review status and arrival details.</x:v>
      </x:c>
      <x:c r="G89" s="31" t="str">
        <x:v>GPS accuracy over 50 m or more than 100 m away</x:v>
      </x:c>
      <x:c r="H89" s="31" t="str">
        <x:v>The task is not falsely marked arrived.</x:v>
      </x:c>
      <x:c r="I89" s="28" t="str"/>
      <x:c r="J89" s="29" t="str">
        <x:v>Not Executed</x:v>
      </x:c>
    </x:row>
    <x:row r="90" ht="52" customHeight="1">
      <x:c r="A90" s="27" t="str">
        <x:v>MOB-MDR-RESP-07</x:v>
      </x:c>
      <x:c r="B90" s="27" t="str">
        <x:v>Field response</x:v>
      </x:c>
      <x:c r="C90" s="27" t="str">
        <x:v>MDRRMO responder</x:v>
      </x:c>
      <x:c r="D90" s="26" t="str">
        <x:v>Update response status and location</x:v>
      </x:c>
      <x:c r="E90" s="26" t="str">
        <x:v>The responder has an accepted task and network access.</x:v>
      </x:c>
      <x:c r="F90" s="26" t="str">
        <x:v>1. Mark En Route.
2. Refresh tasks and report timeline.
3. Make the supported arrival/in-progress update.</x:v>
      </x:c>
      <x:c r="G90" s="26" t="str">
        <x:v>Accepted task with location tracking</x:v>
      </x:c>
      <x:c r="H90" s="26" t="str">
        <x:v>Status and permitted location updates persist and are visible to command staff.</x:v>
      </x:c>
      <x:c r="I90" s="28" t="str"/>
      <x:c r="J90" s="29" t="str">
        <x:v>Not Executed</x:v>
      </x:c>
    </x:row>
    <x:row r="91" ht="65" customHeight="1">
      <x:c r="A91" s="30" t="str">
        <x:v>MOB-MDR-RESP-08</x:v>
      </x:c>
      <x:c r="B91" s="30" t="str">
        <x:v>Field response</x:v>
      </x:c>
      <x:c r="C91" s="30" t="str">
        <x:v>MDRRMO responder</x:v>
      </x:c>
      <x:c r="D91" s="31" t="str">
        <x:v>Save a field assessment</x:v>
      </x:c>
      <x:c r="E91" s="31" t="str">
        <x:v>The responder is assigned to an active report.</x:v>
      </x:c>
      <x:c r="F91" s="31" t="str">
        <x:v>1. Open Field Assessment.
2. Enter situation, people affected, actions, and risks/resources.
3. Save and reopen.</x:v>
      </x:c>
      <x:c r="G91" s="31" t="str">
        <x:v>Complete assessment values for a test incident</x:v>
      </x:c>
      <x:c r="H91" s="31" t="str">
        <x:v>Assessment saves with required fields and appears in report details.</x:v>
      </x:c>
      <x:c r="I91" s="28" t="str"/>
      <x:c r="J91" s="29" t="str">
        <x:v>Not Executed</x:v>
      </x:c>
    </x:row>
    <x:row r="92" ht="52" customHeight="1">
      <x:c r="A92" s="27" t="str">
        <x:v>MOB-MDR-RESP-09</x:v>
      </x:c>
      <x:c r="B92" s="27" t="str">
        <x:v>Field response</x:v>
      </x:c>
      <x:c r="C92" s="27" t="str">
        <x:v>MDRRMO responder</x:v>
      </x:c>
      <x:c r="D92" s="26" t="str">
        <x:v>Require assessment fields before saving</x:v>
      </x:c>
      <x:c r="E92" s="26" t="str">
        <x:v>The field assessment form is open.</x:v>
      </x:c>
      <x:c r="F92" s="26" t="str">
        <x:v>1. Leave a required field blank.
2. Attempt to save.
3. Complete all fields and save.</x:v>
      </x:c>
      <x:c r="G92" s="26" t="str">
        <x:v>One missing value, then valid values</x:v>
      </x:c>
      <x:c r="H92" s="26" t="str">
        <x:v>Incomplete assessment is rejected; complete assessment is saved.</x:v>
      </x:c>
      <x:c r="I92" s="28" t="str"/>
      <x:c r="J92" s="29" t="str">
        <x:v>Not Executed</x:v>
      </x:c>
    </x:row>
    <x:row r="93" ht="52" customHeight="1">
      <x:c r="A93" s="30" t="str">
        <x:v>MOB-MDR-RESP-10</x:v>
      </x:c>
      <x:c r="B93" s="30" t="str">
        <x:v>Field response</x:v>
      </x:c>
      <x:c r="C93" s="30" t="str">
        <x:v>MDRRMO responder</x:v>
      </x:c>
      <x:c r="D93" s="31" t="str">
        <x:v>Upload field photo or video</x:v>
      </x:c>
      <x:c r="E93" s="31" t="str">
        <x:v>The responder is assigned and media upload is available.</x:v>
      </x:c>
      <x:c r="F93" s="31" t="str">
        <x:v>1. Open Attach Field Photo/Video.
2. Select or capture an allowed item.
3. Upload and inspect report detail.</x:v>
      </x:c>
      <x:c r="G93" s="31" t="str">
        <x:v>Test field photo and supported short video</x:v>
      </x:c>
      <x:c r="H93" s="31" t="str">
        <x:v>The item uploads and is displayed on the correct incident.</x:v>
      </x:c>
      <x:c r="I93" s="28" t="str"/>
      <x:c r="J93" s="29" t="str">
        <x:v>Not Executed</x:v>
      </x:c>
    </x:row>
    <x:row r="94" ht="52" customHeight="1">
      <x:c r="A94" s="27" t="str">
        <x:v>MOB-MDR-RESP-11</x:v>
      </x:c>
      <x:c r="B94" s="27" t="str">
        <x:v>Resource requests</x:v>
      </x:c>
      <x:c r="C94" s="27" t="str">
        <x:v>MDRRMO responder</x:v>
      </x:c>
      <x:c r="D94" s="26" t="str">
        <x:v>Request responders or relief goods</x:v>
      </x:c>
      <x:c r="E94" s="26" t="str">
        <x:v>The responder is signed in and a report context is available.</x:v>
      </x:c>
      <x:c r="F94" s="26" t="str">
        <x:v>1. Open Resource Request.
2. Select Responders or Relief Goods and subtype.
3. Enter justification and submit.</x:v>
      </x:c>
      <x:c r="G94" s="26" t="str">
        <x:v>Request type, subtype, non-empty justification</x:v>
      </x:c>
      <x:c r="H94" s="26" t="str">
        <x:v>The request reaches Command Center with its type and justification.</x:v>
      </x:c>
      <x:c r="I94" s="28" t="str"/>
      <x:c r="J94" s="29" t="str">
        <x:v>Not Executed</x:v>
      </x:c>
    </x:row>
    <x:row r="95" ht="52" customHeight="1">
      <x:c r="A95" s="30" t="str">
        <x:v>MOB-MDR-RESP-12</x:v>
      </x:c>
      <x:c r="B95" s="30" t="str">
        <x:v>Field response</x:v>
      </x:c>
      <x:c r="C95" s="30" t="str">
        <x:v>MDRRMO responder</x:v>
      </x:c>
      <x:c r="D95" s="31" t="str">
        <x:v>Close a report with resolution summary</x:v>
      </x:c>
      <x:c r="E95" s="31" t="str">
        <x:v>The responder is assigned to an open task/report.</x:v>
      </x:c>
      <x:c r="F95" s="31" t="str">
        <x:v>1. Choose Close Report.
2. Submit a valid resolution summary.
3. Reopen the task list and resident tracking record.</x:v>
      </x:c>
      <x:c r="G95" s="31" t="str">
        <x:v>Non-empty resolution summary</x:v>
      </x:c>
      <x:c r="H95" s="31" t="str">
        <x:v>The report closes once with the summary and updated tracking state.</x:v>
      </x:c>
      <x:c r="I95" s="28" t="str"/>
      <x:c r="J95" s="29" t="str">
        <x:v>Not Executed</x:v>
      </x:c>
    </x:row>
    <x:row r="96" ht="52" customHeight="1">
      <x:c r="A96" s="27" t="str">
        <x:v>MOB-MDR-RESP-13</x:v>
      </x:c>
      <x:c r="B96" s="27" t="str">
        <x:v>Field response</x:v>
      </x:c>
      <x:c r="C96" s="27" t="str">
        <x:v>MDRRMO responder</x:v>
      </x:c>
      <x:c r="D96" s="26" t="str">
        <x:v>Reject an empty resolution summary</x:v>
      </x:c>
      <x:c r="E96" s="26" t="str">
        <x:v>An open task is ready to close.</x:v>
      </x:c>
      <x:c r="F96" s="26" t="str">
        <x:v>1. Open Close Report.
2. Leave the summary empty.
3. Attempt to submit.</x:v>
      </x:c>
      <x:c r="G96" s="26" t="str">
        <x:v>Empty summary</x:v>
      </x:c>
      <x:c r="H96" s="26" t="str">
        <x:v>The report remains open and prompts for a resolution summary.</x:v>
      </x:c>
      <x:c r="I96" s="28" t="str"/>
      <x:c r="J96" s="29" t="str">
        <x:v>Not Executed</x:v>
      </x:c>
    </x:row>
    <x:row r="97" ht="52" customHeight="1">
      <x:c r="A97" s="30" t="str">
        <x:v>MOB-MDR-RESP-14</x:v>
      </x:c>
      <x:c r="B97" s="30" t="str">
        <x:v>Field response</x:v>
      </x:c>
      <x:c r="C97" s="30" t="str">
        <x:v>MDRRMO responder</x:v>
      </x:c>
      <x:c r="D97" s="31" t="str">
        <x:v>Open report map and resolution PDF</x:v>
      </x:c>
      <x:c r="E97" s="31" t="str">
        <x:v>The report has a location and one report is resolved.</x:v>
      </x:c>
      <x:c r="F97" s="31" t="str">
        <x:v>1. Open report details and select map navigation.
2. Return to the task.
3. Open the resolution PDF for the resolved report.</x:v>
      </x:c>
      <x:c r="G97" s="31" t="str">
        <x:v>Report coordinates and resolved report</x:v>
      </x:c>
      <x:c r="H97" s="31" t="str">
        <x:v>Map uses the correct coordinates and the PDF belongs to the selected report.</x:v>
      </x:c>
      <x:c r="I97" s="28" t="str"/>
      <x:c r="J97" s="29" t="str">
        <x:v>Not Executed</x:v>
      </x:c>
    </x:row>
    <x:row r="98" ht="52" customHeight="1">
      <x:c r="A98" s="27" t="str">
        <x:v>WEB-AUTH-01</x:v>
      </x:c>
      <x:c r="B98" s="27" t="str">
        <x:v>Dashboard access</x:v>
      </x:c>
      <x:c r="C98" s="27" t="str">
        <x:v>MDRRMO admin / dispatcher / staff</x:v>
      </x:c>
      <x:c r="D98" s="26" t="str">
        <x:v>Log in to the web dashboard</x:v>
      </x:c>
      <x:c r="E98" s="26" t="str">
        <x:v>An active dashboard account has the intended role.</x:v>
      </x:c>
      <x:c r="F98" s="26" t="str">
        <x:v>1. Open dashboard login.
2. Enter valid credentials.
3. Open pages permitted to that role.</x:v>
      </x:c>
      <x:c r="G98" s="26" t="str">
        <x:v>Active test dashboard account</x:v>
      </x:c>
      <x:c r="H98" s="26" t="str">
        <x:v>The account is authenticated and only permitted workspace functions are available.</x:v>
      </x:c>
      <x:c r="I98" s="28" t="str"/>
      <x:c r="J98" s="29" t="str">
        <x:v>Not Executed</x:v>
      </x:c>
    </x:row>
    <x:row r="99" ht="52" customHeight="1">
      <x:c r="A99" s="30" t="str">
        <x:v>WEB-AUTH-02</x:v>
      </x:c>
      <x:c r="B99" s="30" t="str">
        <x:v>Dashboard access</x:v>
      </x:c>
      <x:c r="C99" s="30" t="str">
        <x:v>MDRRMO user</x:v>
      </x:c>
      <x:c r="D99" s="31" t="str">
        <x:v>Reject invalid credentials</x:v>
      </x:c>
      <x:c r="E99" s="31" t="str">
        <x:v>Dashboard login is available.</x:v>
      </x:c>
      <x:c r="F99" s="31" t="str">
        <x:v>1. Enter an unknown email or incorrect password.
2. Submit login.
3. Attempt to open a protected page.</x:v>
      </x:c>
      <x:c r="G99" s="31" t="str">
        <x:v>Unknown email or incorrect password</x:v>
      </x:c>
      <x:c r="H99" s="31" t="str">
        <x:v>Login is denied and protected pages remain inaccessible.</x:v>
      </x:c>
      <x:c r="I99" s="28" t="str"/>
      <x:c r="J99" s="29" t="str">
        <x:v>Not Executed</x:v>
      </x:c>
    </x:row>
    <x:row r="100" ht="52" customHeight="1">
      <x:c r="A100" s="27" t="str">
        <x:v>WEB-AUTH-03</x:v>
      </x:c>
      <x:c r="B100" s="27" t="str">
        <x:v>Dashboard access</x:v>
      </x:c>
      <x:c r="C100" s="27" t="str">
        <x:v>MDRRMO user</x:v>
      </x:c>
      <x:c r="D100" s="26" t="str">
        <x:v>Log out and block browser back access</x:v>
      </x:c>
      <x:c r="E100" s="26" t="str">
        <x:v>A dashboard user is signed in.</x:v>
      </x:c>
      <x:c r="F100" s="26" t="str">
        <x:v>1. Select Log Out.
2. Use browser Back or a saved protected URL.
3. Refresh the page.</x:v>
      </x:c>
      <x:c r="G100" s="26" t="str">
        <x:v>Authenticated dashboard session</x:v>
      </x:c>
      <x:c r="H100" s="26" t="str">
        <x:v>The session ends and protected pages require login again.</x:v>
      </x:c>
      <x:c r="I100" s="28" t="str"/>
      <x:c r="J100" s="29" t="str">
        <x:v>Not Executed</x:v>
      </x:c>
    </x:row>
    <x:row r="101" ht="52" customHeight="1">
      <x:c r="A101" s="30" t="str">
        <x:v>WEB-CMD-01</x:v>
      </x:c>
      <x:c r="B101" s="30" t="str">
        <x:v>Command Center</x:v>
      </x:c>
      <x:c r="C101" s="30" t="str">
        <x:v>MDRRMO dispatcher</x:v>
      </x:c>
      <x:c r="D101" s="31" t="str">
        <x:v>Load live command map and incident markers</x:v>
      </x:c>
      <x:c r="E101" s="31" t="str">
        <x:v>Geocoded incidents and a live responder location exist.</x:v>
      </x:c>
      <x:c r="F101" s="31" t="str">
        <x:v>1. Open Command Center.
2. Wait for map and layers.
3. Select incident and responder markers.</x:v>
      </x:c>
      <x:c r="G101" s="31" t="str">
        <x:v>Geocoded test incident and live responder</x:v>
      </x:c>
      <x:c r="H101" s="31" t="str">
        <x:v>Correct markers display and each selection opens matching details.</x:v>
      </x:c>
      <x:c r="I101" s="28" t="str"/>
      <x:c r="J101" s="29" t="str">
        <x:v>Not Executed</x:v>
      </x:c>
    </x:row>
    <x:row r="102" ht="52" customHeight="1">
      <x:c r="A102" s="27" t="str">
        <x:v>WEB-CMD-02</x:v>
      </x:c>
      <x:c r="B102" s="27" t="str">
        <x:v>Command Center</x:v>
      </x:c>
      <x:c r="C102" s="27" t="str">
        <x:v>MDRRMO dispatcher</x:v>
      </x:c>
      <x:c r="D102" s="26" t="str">
        <x:v>Filter and search command incidents</x:v>
      </x:c>
      <x:c r="E102" s="26" t="str">
        <x:v>Reports exist across statuses and types.</x:v>
      </x:c>
      <x:c r="F102" s="26" t="str">
        <x:v>1. Use map/list filters or search.
2. Select a status/category.
3. Clear filters and compare results.</x:v>
      </x:c>
      <x:c r="G102" s="26" t="str">
        <x:v>Reports in multiple statuses/categories</x:v>
      </x:c>
      <x:c r="H102" s="26" t="str">
        <x:v>Results match the selected filter and return when it is cleared.</x:v>
      </x:c>
      <x:c r="I102" s="28" t="str"/>
      <x:c r="J102" s="29" t="str">
        <x:v>Not Executed</x:v>
      </x:c>
    </x:row>
    <x:row r="103" ht="52" customHeight="1">
      <x:c r="A103" s="30" t="str">
        <x:v>WEB-CMD-03</x:v>
      </x:c>
      <x:c r="B103" s="30" t="str">
        <x:v>Command Center</x:v>
      </x:c>
      <x:c r="C103" s="30" t="str">
        <x:v>MDRRMO dispatcher</x:v>
      </x:c>
      <x:c r="D103" s="31" t="str">
        <x:v>Review report evidence and coordinates</x:v>
      </x:c>
      <x:c r="E103" s="31" t="str">
        <x:v>A geocoded report has photo or video evidence.</x:v>
      </x:c>
      <x:c r="F103" s="31" t="str">
        <x:v>1. Select the report marker.
2. Inspect details and coordinates.
3. Open and close proof preview.</x:v>
      </x:c>
      <x:c r="G103" s="31" t="str">
        <x:v>Report with media and coordinates</x:v>
      </x:c>
      <x:c r="H103" s="31" t="str">
        <x:v>The correct details and evidence are shown and preview controls work.</x:v>
      </x:c>
      <x:c r="I103" s="28" t="str"/>
      <x:c r="J103" s="29" t="str">
        <x:v>Not Executed</x:v>
      </x:c>
    </x:row>
    <x:row r="104" ht="52" customHeight="1">
      <x:c r="A104" s="27" t="str">
        <x:v>WEB-CMD-04</x:v>
      </x:c>
      <x:c r="B104" s="27" t="str">
        <x:v>Command Center</x:v>
      </x:c>
      <x:c r="C104" s="27" t="str">
        <x:v>MDRRMO dispatcher</x:v>
      </x:c>
      <x:c r="D104" s="26" t="str">
        <x:v>Review an invalid or inconclusive report</x:v>
      </x:c>
      <x:c r="E104" s="26" t="str">
        <x:v>A report requires review before response.</x:v>
      </x:c>
      <x:c r="F104" s="26" t="str">
        <x:v>1. Select the report review action.
2. Choose false report or inconclusive.
3. Enter a reason and notify the resident.</x:v>
      </x:c>
      <x:c r="G104" s="26" t="str">
        <x:v>Test report and review reason</x:v>
      </x:c>
      <x:c r="H104" s="26" t="str">
        <x:v>Outcome and reason are recorded, resident is notified, and the report is not dispatched as valid.</x:v>
      </x:c>
      <x:c r="I104" s="28" t="str"/>
      <x:c r="J104" s="29" t="str">
        <x:v>Not Executed</x:v>
      </x:c>
    </x:row>
    <x:row r="105" ht="52" customHeight="1">
      <x:c r="A105" s="30" t="str">
        <x:v>WEB-CMD-05</x:v>
      </x:c>
      <x:c r="B105" s="30" t="str">
        <x:v>Command Center</x:v>
      </x:c>
      <x:c r="C105" s="30" t="str">
        <x:v>MDRRMO dispatcher</x:v>
      </x:c>
      <x:c r="D105" s="31" t="str">
        <x:v>Dispatch a municipal response unit</x:v>
      </x:c>
      <x:c r="E105" s="31" t="str">
        <x:v>An eligible report and available municipal unit/responders exist.</x:v>
      </x:c>
      <x:c r="F105" s="31" t="str">
        <x:v>1. Select the report.
2. Open dispatch and choose incident type and unit.
3. Confirm dispatch and check responder workspace.</x:v>
      </x:c>
      <x:c r="G105" s="31" t="str">
        <x:v>Eligible report, incident type, available unit</x:v>
      </x:c>
      <x:c r="H105" s="31" t="str">
        <x:v>The report is assigned to the selected unit and the responder receives the task.</x:v>
      </x:c>
      <x:c r="I105" s="28" t="str"/>
      <x:c r="J105" s="29" t="str">
        <x:v>Not Executed</x:v>
      </x:c>
    </x:row>
    <x:row r="106" ht="65" customHeight="1">
      <x:c r="A106" s="27" t="str">
        <x:v>WEB-CMD-06</x:v>
      </x:c>
      <x:c r="B106" s="27" t="str">
        <x:v>Command Center</x:v>
      </x:c>
      <x:c r="C106" s="27" t="str">
        <x:v>MDRRMO dispatcher</x:v>
      </x:c>
      <x:c r="D106" s="26" t="str">
        <x:v>Approve and mobilize a barangay escalation</x:v>
      </x:c>
      <x:c r="E106" s="26" t="str">
        <x:v>A barangay has submitted an escalation with justification.</x:v>
      </x:c>
      <x:c r="F106" s="26" t="str">
        <x:v>1. Open escalation queue.
2. Review report and justification.
3. Approve/dispatch municipal support.
4. Check both agency views.</x:v>
      </x:c>
      <x:c r="G106" s="26" t="str">
        <x:v>Escalated test incident and available unit</x:v>
      </x:c>
      <x:c r="H106" s="26" t="str">
        <x:v>Decision is tracked, municipal support is assigned, and both agencies see the update.</x:v>
      </x:c>
      <x:c r="I106" s="28" t="str"/>
      <x:c r="J106" s="29" t="str">
        <x:v>Not Executed</x:v>
      </x:c>
    </x:row>
    <x:row r="107" ht="52" customHeight="1">
      <x:c r="A107" s="30" t="str">
        <x:v>WEB-CMD-07</x:v>
      </x:c>
      <x:c r="B107" s="30" t="str">
        <x:v>Command Center</x:v>
      </x:c>
      <x:c r="C107" s="30" t="str">
        <x:v>MDRRMO dispatcher</x:v>
      </x:c>
      <x:c r="D107" s="31" t="str">
        <x:v>Monitor live response status</x:v>
      </x:c>
      <x:c r="E107" s="31" t="str">
        <x:v>A responder task is assigned and can publish status/location.</x:v>
      </x:c>
      <x:c r="F107" s="31" t="str">
        <x:v>1. Keep Command Center open.
2. Update status or GPS in mobile app.
3. Observe map and incident details.</x:v>
      </x:c>
      <x:c r="G107" s="31" t="str">
        <x:v>Assigned report with changing status/location</x:v>
      </x:c>
      <x:c r="H107" s="31" t="str">
        <x:v>Live updates appear for the correct responder and incident.</x:v>
      </x:c>
      <x:c r="I107" s="28" t="str"/>
      <x:c r="J107" s="29" t="str">
        <x:v>Not Executed</x:v>
      </x:c>
    </x:row>
    <x:row r="108" ht="52" customHeight="1">
      <x:c r="A108" s="27" t="str">
        <x:v>WEB-REPORT-01</x:v>
      </x:c>
      <x:c r="B108" s="27" t="str">
        <x:v>Incident reports</x:v>
      </x:c>
      <x:c r="C108" s="27" t="str">
        <x:v>MDRRMO admin / dispatcher</x:v>
      </x:c>
      <x:c r="D108" s="26" t="str">
        <x:v>Search and filter incident reports</x:v>
      </x:c>
      <x:c r="E108" s="26" t="str">
        <x:v>Reports exist across categories and statuses.</x:v>
      </x:c>
      <x:c r="F108" s="26" t="str">
        <x:v>1. Open Reports.
2. Search test details and apply a status/category filter.
3. Clear filters.</x:v>
      </x:c>
      <x:c r="G108" s="26" t="str">
        <x:v>Known report type and multiple statuses</x:v>
      </x:c>
      <x:c r="H108" s="26" t="str">
        <x:v>The list reflects search/filters and restores the permitted list when cleared.</x:v>
      </x:c>
      <x:c r="I108" s="28" t="str"/>
      <x:c r="J108" s="29" t="str">
        <x:v>Not Executed</x:v>
      </x:c>
    </x:row>
    <x:row r="109" ht="52" customHeight="1">
      <x:c r="A109" s="30" t="str">
        <x:v>WEB-REPORT-02</x:v>
      </x:c>
      <x:c r="B109" s="30" t="str">
        <x:v>Incident reports</x:v>
      </x:c>
      <x:c r="C109" s="30" t="str">
        <x:v>MDRRMO user</x:v>
      </x:c>
      <x:c r="D109" s="31" t="str">
        <x:v>Open report details and resolution document</x:v>
      </x:c>
      <x:c r="E109" s="31" t="str">
        <x:v>A report has a timeline and one report is resolved.</x:v>
      </x:c>
      <x:c r="F109" s="31" t="str">
        <x:v>1. Open report detail.
2. Review location, history, and media.
3. Download the resolution PDF.</x:v>
      </x:c>
      <x:c r="G109" s="31" t="str">
        <x:v>Resolved report with notes and field media</x:v>
      </x:c>
      <x:c r="H109" s="31" t="str">
        <x:v>Details match the report and a readable resolution document is produced.</x:v>
      </x:c>
      <x:c r="I109" s="28" t="str"/>
      <x:c r="J109" s="29" t="str">
        <x:v>Not Executed</x:v>
      </x:c>
    </x:row>
    <x:row r="110" ht="52" customHeight="1">
      <x:c r="A110" s="27" t="str">
        <x:v>WEB-VER-01</x:v>
      </x:c>
      <x:c r="B110" s="27" t="str">
        <x:v>Verification</x:v>
      </x:c>
      <x:c r="C110" s="27" t="str">
        <x:v>MDRRMO admin</x:v>
      </x:c>
      <x:c r="D110" s="26" t="str">
        <x:v>Review and approve or reject an officer application</x:v>
      </x:c>
      <x:c r="E110" s="26" t="str">
        <x:v>A pending officer application exists.</x:v>
      </x:c>
      <x:c r="F110" s="26" t="str">
        <x:v>1. Open Verification and officer queue.
2. Review applicant and documents.
3. Approve or reject the test application.</x:v>
      </x:c>
      <x:c r="G110" s="26" t="str">
        <x:v>Pending officer application</x:v>
      </x:c>
      <x:c r="H110" s="26" t="str">
        <x:v>Decision is saved and the application moves to the correct view.</x:v>
      </x:c>
      <x:c r="I110" s="28" t="str"/>
      <x:c r="J110" s="29" t="str">
        <x:v>Not Executed</x:v>
      </x:c>
    </x:row>
    <x:row r="111" ht="52" customHeight="1">
      <x:c r="A111" s="30" t="str">
        <x:v>WEB-VER-02</x:v>
      </x:c>
      <x:c r="B111" s="30" t="str">
        <x:v>Verification</x:v>
      </x:c>
      <x:c r="C111" s="30" t="str">
        <x:v>MDRRMO admin</x:v>
      </x:c>
      <x:c r="D111" s="31" t="str">
        <x:v>Restore a rejected officer application</x:v>
      </x:c>
      <x:c r="E111" s="31" t="str">
        <x:v>A rejected application exists in the archive.</x:v>
      </x:c>
      <x:c r="F111" s="31" t="str">
        <x:v>1. Open archived applications.
2. Select the test record.
3. Choose Restore and return to pending.</x:v>
      </x:c>
      <x:c r="G111" s="31" t="str">
        <x:v>Archived application</x:v>
      </x:c>
      <x:c r="H111" s="31" t="str">
        <x:v>The record returns to the appropriate review state.</x:v>
      </x:c>
      <x:c r="I111" s="28" t="str"/>
      <x:c r="J111" s="29" t="str">
        <x:v>Not Executed</x:v>
      </x:c>
    </x:row>
    <x:row r="112" ht="52" customHeight="1">
      <x:c r="A112" s="27" t="str">
        <x:v>WEB-VER-03</x:v>
      </x:c>
      <x:c r="B112" s="27" t="str">
        <x:v>Verification</x:v>
      </x:c>
      <x:c r="C112" s="27" t="str">
        <x:v>MDRRMO admin</x:v>
      </x:c>
      <x:c r="D112" s="26" t="str">
        <x:v>Use bulk officer review actions</x:v>
      </x:c>
      <x:c r="E112" s="26" t="str">
        <x:v>Multiple pending applications exist.</x:v>
      </x:c>
      <x:c r="F112" s="26" t="str">
        <x:v>1. Enable multi-select.
2. Select several records.
3. Run bulk approve or reject and inspect queues.</x:v>
      </x:c>
      <x:c r="G112" s="26" t="str">
        <x:v>Two or more pending applications</x:v>
      </x:c>
      <x:c r="H112" s="26" t="str">
        <x:v>Only selected records receive the decision and queue counts update.</x:v>
      </x:c>
      <x:c r="I112" s="28" t="str"/>
      <x:c r="J112" s="29" t="str">
        <x:v>Not Executed</x:v>
      </x:c>
    </x:row>
    <x:row r="113" ht="52" customHeight="1">
      <x:c r="A113" s="30" t="str">
        <x:v>WEB-VER-04</x:v>
      </x:c>
      <x:c r="B113" s="30" t="str">
        <x:v>Verification</x:v>
      </x:c>
      <x:c r="C113" s="30" t="str">
        <x:v>MDRRMO admin</x:v>
      </x:c>
      <x:c r="D113" s="31" t="str">
        <x:v>Review a Barangay Account Request</x:v>
      </x:c>
      <x:c r="E113" s="31" t="str">
        <x:v>A pending request and its document are available.</x:v>
      </x:c>
      <x:c r="F113" s="31" t="str">
        <x:v>1. Open Barangay Account Requests.
2. Inspect details and signed document.
3. Approve, reject with reason, or request correction.</x:v>
      </x:c>
      <x:c r="G113" s="31" t="str">
        <x:v>Pending request and test document</x:v>
      </x:c>
      <x:c r="H113" s="31" t="str">
        <x:v>The action and reason are stored; resulting status is visible.</x:v>
      </x:c>
      <x:c r="I113" s="28" t="str"/>
      <x:c r="J113" s="29" t="str">
        <x:v>Not Executed</x:v>
      </x:c>
    </x:row>
    <x:row r="114" ht="52" customHeight="1">
      <x:c r="A114" s="27" t="str">
        <x:v>WEB-VER-05</x:v>
      </x:c>
      <x:c r="B114" s="27" t="str">
        <x:v>Verification</x:v>
      </x:c>
      <x:c r="C114" s="27" t="str">
        <x:v>MDRRMO admin</x:v>
      </x:c>
      <x:c r="D114" s="26" t="str">
        <x:v>Activate or deactivate an approved barangay</x:v>
      </x:c>
      <x:c r="E114" s="26" t="str">
        <x:v>An approved barangay account is available.</x:v>
      </x:c>
      <x:c r="F114" s="26" t="str">
        <x:v>1. Open approved request detail.
2. Deactivate access and check a barangay user.
3. Reactivate and check access again.</x:v>
      </x:c>
      <x:c r="G114" s="26" t="str">
        <x:v>Approved barangay with test accounts</x:v>
      </x:c>
      <x:c r="H114" s="26" t="str">
        <x:v>Deactivation blocks barangay accounts and reactivation restores access according to approval state.</x:v>
      </x:c>
      <x:c r="I114" s="28" t="str"/>
      <x:c r="J114" s="29" t="str">
        <x:v>Not Executed</x:v>
      </x:c>
    </x:row>
    <x:row r="115" ht="65" customHeight="1">
      <x:c r="A115" s="30" t="str">
        <x:v>WEB-USERS-01</x:v>
      </x:c>
      <x:c r="B115" s="30" t="str">
        <x:v>User management</x:v>
      </x:c>
      <x:c r="C115" s="30" t="str">
        <x:v>MDRRMO master admin</x:v>
      </x:c>
      <x:c r="D115" s="31" t="str">
        <x:v>Create a dashboard account with role</x:v>
      </x:c>
      <x:c r="E115" s="31" t="str">
        <x:v>The master admin is signed in and identifier is unused.</x:v>
      </x:c>
      <x:c r="F115" s="31" t="str">
        <x:v>1. Open Users.
2. Select Create Account.
3. Enter valid details and role/specialization.
4. Save.</x:v>
      </x:c>
      <x:c r="G115" s="31" t="str">
        <x:v>Unique test account and permitted role</x:v>
      </x:c>
      <x:c r="H115" s="31" t="str">
        <x:v>The account is created with the selected role and appears in the user list.</x:v>
      </x:c>
      <x:c r="I115" s="28" t="str"/>
      <x:c r="J115" s="29" t="str">
        <x:v>Not Executed</x:v>
      </x:c>
    </x:row>
    <x:row r="116" ht="52" customHeight="1">
      <x:c r="A116" s="27" t="str">
        <x:v>WEB-USERS-02</x:v>
      </x:c>
      <x:c r="B116" s="27" t="str">
        <x:v>User management</x:v>
      </x:c>
      <x:c r="C116" s="27" t="str">
        <x:v>MDRRMO admin / master admin</x:v>
      </x:c>
      <x:c r="D116" s="26" t="str">
        <x:v>Edit user role or active status</x:v>
      </x:c>
      <x:c r="E116" s="26" t="str">
        <x:v>An eligible user exists.</x:v>
      </x:c>
      <x:c r="F116" s="26" t="str">
        <x:v>1. Open the user record.
2. Change an allowed role or status.
3. Save and verify access.</x:v>
      </x:c>
      <x:c r="G116" s="26" t="str">
        <x:v>Existing user and new role/status</x:v>
      </x:c>
      <x:c r="H116" s="26" t="str">
        <x:v>The update persists and accessible pages match the resulting role/status.</x:v>
      </x:c>
      <x:c r="I116" s="28" t="str"/>
      <x:c r="J116" s="29" t="str">
        <x:v>Not Executed</x:v>
      </x:c>
    </x:row>
    <x:row r="117" ht="52" customHeight="1">
      <x:c r="A117" s="30" t="str">
        <x:v>WEB-USERS-03</x:v>
      </x:c>
      <x:c r="B117" s="30" t="str">
        <x:v>User management</x:v>
      </x:c>
      <x:c r="C117" s="30" t="str">
        <x:v>MDRRMO admin</x:v>
      </x:c>
      <x:c r="D117" s="31" t="str">
        <x:v>Reject duplicate or invalid account details</x:v>
      </x:c>
      <x:c r="E117" s="31" t="str">
        <x:v>A dashboard user exists with the test email.</x:v>
      </x:c>
      <x:c r="F117" s="31" t="str">
        <x:v>1. Open Create Account.
2. Submit missing fields or weak password.
3. Try the existing email.</x:v>
      </x:c>
      <x:c r="G117" s="31" t="str">
        <x:v>Duplicate email and invalid details</x:v>
      </x:c>
      <x:c r="H117" s="31" t="str">
        <x:v>Validation blocks invalid data and no duplicate user is created.</x:v>
      </x:c>
      <x:c r="I117" s="28" t="str"/>
      <x:c r="J117" s="29" t="str">
        <x:v>Not Executed</x:v>
      </x:c>
    </x:row>
    <x:row r="118" ht="52" customHeight="1">
      <x:c r="A118" s="27" t="str">
        <x:v>WEB-UNIT-01</x:v>
      </x:c>
      <x:c r="B118" s="27" t="str">
        <x:v>Response units</x:v>
      </x:c>
      <x:c r="C118" s="27" t="str">
        <x:v>MDRRMO logistics staff</x:v>
      </x:c>
      <x:c r="D118" s="26" t="str">
        <x:v>Search and inspect response units</x:v>
      </x:c>
      <x:c r="E118" s="26" t="str">
        <x:v>Units with different specializations and statuses exist.</x:v>
      </x:c>
      <x:c r="F118" s="26" t="str">
        <x:v>1. Open Response Units.
2. Search by name, leader, or specialization.
3. Select each unit and review roster/readiness.</x:v>
      </x:c>
      <x:c r="G118" s="26" t="str">
        <x:v>Two units with different leaders and specializations</x:v>
      </x:c>
      <x:c r="H118" s="26" t="str">
        <x:v>Results and roster details match the query and selected unit.</x:v>
      </x:c>
      <x:c r="I118" s="28" t="str"/>
      <x:c r="J118" s="29" t="str">
        <x:v>Not Executed</x:v>
      </x:c>
    </x:row>
    <x:row r="119" ht="52" customHeight="1">
      <x:c r="A119" s="30" t="str">
        <x:v>WEB-UNIT-02</x:v>
      </x:c>
      <x:c r="B119" s="30" t="str">
        <x:v>Response units</x:v>
      </x:c>
      <x:c r="C119" s="30" t="str">
        <x:v>MDRRMO logistics staff</x:v>
      </x:c>
      <x:c r="D119" s="31" t="str">
        <x:v>Create a unit with a responder team leader</x:v>
      </x:c>
      <x:c r="E119" s="31" t="str">
        <x:v>An active eligible responder is not leading another active unit.</x:v>
      </x:c>
      <x:c r="F119" s="31" t="str">
        <x:v>1. Choose Create Unit.
2. Enter name and specialization.
3. Select a Team Leader responder account and save.</x:v>
      </x:c>
      <x:c r="G119" s="31" t="str">
        <x:v>Unique unit name and eligible leader</x:v>
      </x:c>
      <x:c r="H119" s="31" t="str">
        <x:v>The unit is created and the selected responder is shown as its leader.</x:v>
      </x:c>
      <x:c r="I119" s="28" t="str"/>
      <x:c r="J119" s="29" t="str">
        <x:v>Not Executed</x:v>
      </x:c>
    </x:row>
    <x:row r="120" ht="52" customHeight="1">
      <x:c r="A120" s="27" t="str">
        <x:v>WEB-UNIT-03</x:v>
      </x:c>
      <x:c r="B120" s="27" t="str">
        <x:v>Response units</x:v>
      </x:c>
      <x:c r="C120" s="27" t="str">
        <x:v>MDRRMO logistics staff</x:v>
      </x:c>
      <x:c r="D120" s="26" t="str">
        <x:v>Assign members within position limits</x:v>
      </x:c>
      <x:c r="E120" s="26" t="str">
        <x:v>A unit exists and eligible officers can be assigned.</x:v>
      </x:c>
      <x:c r="F120" s="26" t="str">
        <x:v>1. Add radio operator, driver, and first aider members.
2. Try exceeding each position limit.
3. Review roster readiness.</x:v>
      </x:c>
      <x:c r="G120" s="26" t="str">
        <x:v>1 radio operator, up to 3 drivers, up to 3 first aiders</x:v>
      </x:c>
      <x:c r="H120" s="26" t="str">
        <x:v>Valid assignments save; over-limit assignments are rejected and readiness updates.</x:v>
      </x:c>
      <x:c r="I120" s="28" t="str"/>
      <x:c r="J120" s="29" t="str">
        <x:v>Not Executed</x:v>
      </x:c>
    </x:row>
    <x:row r="121" ht="52" customHeight="1">
      <x:c r="A121" s="30" t="str">
        <x:v>WEB-UNIT-04</x:v>
      </x:c>
      <x:c r="B121" s="30" t="str">
        <x:v>Response units</x:v>
      </x:c>
      <x:c r="C121" s="30" t="str">
        <x:v>MDRRMO logistics staff</x:v>
      </x:c>
      <x:c r="D121" s="31" t="str">
        <x:v>Edit or remove a unit member</x:v>
      </x:c>
      <x:c r="E121" s="31" t="str">
        <x:v>A unit has a test member.</x:v>
      </x:c>
      <x:c r="F121" s="31" t="str">
        <x:v>1. Open the roster.
2. Change member role or remove the member.
3. Save and reopen.</x:v>
      </x:c>
      <x:c r="G121" s="31" t="str">
        <x:v>Existing member and valid role/removal</x:v>
      </x:c>
      <x:c r="H121" s="31" t="str">
        <x:v>Roster reflects the saved change and unrelated members remain unchanged.</x:v>
      </x:c>
      <x:c r="I121" s="28" t="str"/>
      <x:c r="J121" s="29" t="str">
        <x:v>Not Executed</x:v>
      </x:c>
    </x:row>
    <x:row r="122" ht="52" customHeight="1">
      <x:c r="A122" s="27" t="str">
        <x:v>WEB-UNIT-05</x:v>
      </x:c>
      <x:c r="B122" s="27" t="str">
        <x:v>Response units</x:v>
      </x:c>
      <x:c r="C122" s="27" t="str">
        <x:v>MDRRMO logistics staff</x:v>
      </x:c>
      <x:c r="D122" s="26" t="str">
        <x:v>Edit unit details or availability</x:v>
      </x:c>
      <x:c r="E122" s="26" t="str">
        <x:v>A response unit exists.</x:v>
      </x:c>
      <x:c r="F122" s="26" t="str">
        <x:v>1. Open Edit Unit.
2. Change an editable detail or status.
3. Save and inspect dispatch eligibility.</x:v>
      </x:c>
      <x:c r="G122" s="26" t="str">
        <x:v>Existing unit and revised specialization/status</x:v>
      </x:c>
      <x:c r="H122" s="26" t="str">
        <x:v>The change persists and dispatch eligibility reflects availability.</x:v>
      </x:c>
      <x:c r="I122" s="28" t="str"/>
      <x:c r="J122" s="29" t="str">
        <x:v>Not Executed</x:v>
      </x:c>
    </x:row>
    <x:row r="123" ht="52" customHeight="1">
      <x:c r="A123" s="30" t="str">
        <x:v>WEB-UNIT-06</x:v>
      </x:c>
      <x:c r="B123" s="30" t="str">
        <x:v>Response units</x:v>
      </x:c>
      <x:c r="C123" s="30" t="str">
        <x:v>MDRRMO logistics staff</x:v>
      </x:c>
      <x:c r="D123" s="31" t="str">
        <x:v>Activate a selected unit for today</x:v>
      </x:c>
      <x:c r="E123" s="31" t="str">
        <x:v>A roster-ready unit is not active today.</x:v>
      </x:c>
      <x:c r="F123" s="31" t="str">
        <x:v>1. Select the unit.
2. Choose Activate Today.
3. Confirm and inspect active date/mode.</x:v>
      </x:c>
      <x:c r="G123" s="31" t="str">
        <x:v>Roster-ready unit and current local date</x:v>
      </x:c>
      <x:c r="H123" s="31" t="str">
        <x:v>The unit is marked active for today and becomes dispatchable.</x:v>
      </x:c>
      <x:c r="I123" s="28" t="str"/>
      <x:c r="J123" s="29" t="str">
        <x:v>Not Executed</x:v>
      </x:c>
    </x:row>
    <x:row r="124" ht="52" customHeight="1">
      <x:c r="A124" s="27" t="str">
        <x:v>WEB-UNIT-07</x:v>
      </x:c>
      <x:c r="B124" s="27" t="str">
        <x:v>Response units</x:v>
      </x:c>
      <x:c r="C124" s="27" t="str">
        <x:v>MDRRMO logistics staff</x:v>
      </x:c>
      <x:c r="D124" s="26" t="str">
        <x:v>Emergency-activate all eligible units</x:v>
      </x:c>
      <x:c r="E124" s="26" t="str">
        <x:v>Several units exist, including one not ready or unavailable.</x:v>
      </x:c>
      <x:c r="F124" s="26" t="str">
        <x:v>1. Choose Emergency Activate All.
2. Confirm.
3. Review activation date/mode and dispatchability.</x:v>
      </x:c>
      <x:c r="G124" s="26" t="str">
        <x:v>Ready, not-ready, and unavailable units</x:v>
      </x:c>
      <x:c r="H124" s="26" t="str">
        <x:v>Eligible units activate in emergency mode; ineligible units remain non-dispatchable with clear state.</x:v>
      </x:c>
      <x:c r="I124" s="28" t="str"/>
      <x:c r="J124" s="29" t="str">
        <x:v>Not Executed</x:v>
      </x:c>
    </x:row>
    <x:row r="125" ht="65" customHeight="1">
      <x:c r="A125" s="30" t="str">
        <x:v>WEB-UNIT-08</x:v>
      </x:c>
      <x:c r="B125" s="30" t="str">
        <x:v>Response units</x:v>
      </x:c>
      <x:c r="C125" s="30" t="str">
        <x:v>MDRRMO dispatcher</x:v>
      </x:c>
      <x:c r="D125" s="31" t="str">
        <x:v>Dispatch only units active today</x:v>
      </x:c>
      <x:c r="E125" s="31" t="str">
        <x:v>Units include active-today and inactive-today records.</x:v>
      </x:c>
      <x:c r="F125" s="31" t="str">
        <x:v>1. Open dispatch.
2. Inspect the unit selector.
3. Dispatch to an active unit and verify inactive units are unavailable.</x:v>
      </x:c>
      <x:c r="G125" s="31" t="str">
        <x:v>One active and one inactive unit</x:v>
      </x:c>
      <x:c r="H125" s="31" t="str">
        <x:v>Only units active and dispatchable today can be selected.</x:v>
      </x:c>
      <x:c r="I125" s="28" t="str"/>
      <x:c r="J125" s="29" t="str">
        <x:v>Not Executed</x:v>
      </x:c>
    </x:row>
    <x:row r="126" ht="52" customHeight="1">
      <x:c r="A126" s="27" t="str">
        <x:v>WEB-UNIT-09</x:v>
      </x:c>
      <x:c r="B126" s="27" t="str">
        <x:v>Response units</x:v>
      </x:c>
      <x:c r="C126" s="27" t="str">
        <x:v>MDRRMO logistics staff</x:v>
      </x:c>
      <x:c r="D126" s="26" t="str">
        <x:v>Delete a disposable response unit</x:v>
      </x:c>
      <x:c r="E126" s="26" t="str">
        <x:v>A test unit has no active dispatches.</x:v>
      </x:c>
      <x:c r="F126" s="26" t="str">
        <x:v>1. Select the test unit.
2. Choose Delete and confirm.
3. Refresh the unit list.</x:v>
      </x:c>
      <x:c r="G126" s="26" t="str">
        <x:v>Disposable test unit</x:v>
      </x:c>
      <x:c r="H126" s="26" t="str">
        <x:v>Only the selected unit is removed or archived; other units remain unchanged.</x:v>
      </x:c>
      <x:c r="I126" s="28" t="str"/>
      <x:c r="J126" s="29" t="str">
        <x:v>Not Executed</x:v>
      </x:c>
    </x:row>
    <x:row r="127" ht="52" customHeight="1">
      <x:c r="A127" s="30" t="str">
        <x:v>WEB-EVAC-01</x:v>
      </x:c>
      <x:c r="B127" s="30" t="str">
        <x:v>Evacuation centers</x:v>
      </x:c>
      <x:c r="C127" s="30" t="str">
        <x:v>MDRRMO admin / staff</x:v>
      </x:c>
      <x:c r="D127" s="31" t="str">
        <x:v>Add an evacuation center</x:v>
      </x:c>
      <x:c r="E127" s="31" t="str">
        <x:v>The user is authorized and coordinates are known.</x:v>
      </x:c>
      <x:c r="F127" s="31" t="str">
        <x:v>1. Open Evacuation Centers.
2. Choose Add Center and enter required details.
3. Save and reopen.</x:v>
      </x:c>
      <x:c r="G127" s="31" t="str">
        <x:v>Unique center, barangay, capacity, coordinates</x:v>
      </x:c>
      <x:c r="H127" s="31" t="str">
        <x:v>The center is stored with the correct location and appears in list/map.</x:v>
      </x:c>
      <x:c r="I127" s="28" t="str"/>
      <x:c r="J127" s="29" t="str">
        <x:v>Not Executed</x:v>
      </x:c>
    </x:row>
    <x:row r="128" ht="52" customHeight="1">
      <x:c r="A128" s="27" t="str">
        <x:v>WEB-EVAC-02</x:v>
      </x:c>
      <x:c r="B128" s="27" t="str">
        <x:v>Evacuation centers</x:v>
      </x:c>
      <x:c r="C128" s="27" t="str">
        <x:v>MDRRMO admin / staff</x:v>
      </x:c>
      <x:c r="D128" s="26" t="str">
        <x:v>Edit or deactivate an evacuation center</x:v>
      </x:c>
      <x:c r="E128" s="26" t="str">
        <x:v>An evacuation center exists.</x:v>
      </x:c>
      <x:c r="F128" s="26" t="str">
        <x:v>1. Open the center.
2. Change an editable field or active status.
3. Save and check resident visibility.</x:v>
      </x:c>
      <x:c r="G128" s="26" t="str">
        <x:v>Existing center and revised status/details</x:v>
      </x:c>
      <x:c r="H128" s="26" t="str">
        <x:v>The change persists and inactive centers are handled consistently in resident views.</x:v>
      </x:c>
      <x:c r="I128" s="28" t="str"/>
      <x:c r="J128" s="29" t="str">
        <x:v>Not Executed</x:v>
      </x:c>
    </x:row>
    <x:row r="129" ht="52" customHeight="1">
      <x:c r="A129" s="30" t="str">
        <x:v>WEB-EVAC-03</x:v>
      </x:c>
      <x:c r="B129" s="30" t="str">
        <x:v>Evacuation centers</x:v>
      </x:c>
      <x:c r="C129" s="30" t="str">
        <x:v>MDRRMO user</x:v>
      </x:c>
      <x:c r="D129" s="31" t="str">
        <x:v>Filter centers by barangay and map location</x:v>
      </x:c>
      <x:c r="E129" s="31" t="str">
        <x:v>Centers exist in multiple barangays.</x:v>
      </x:c>
      <x:c r="F129" s="31" t="str">
        <x:v>1. Apply a barangay filter.
2. Select a map marker.
3. Clear the filter.</x:v>
      </x:c>
      <x:c r="G129" s="31" t="str">
        <x:v>Centers in two barangays</x:v>
      </x:c>
      <x:c r="H129" s="31" t="str">
        <x:v>Map/list show matching details and return to the complete set after clearing.</x:v>
      </x:c>
      <x:c r="I129" s="28" t="str"/>
      <x:c r="J129" s="29" t="str">
        <x:v>Not Executed</x:v>
      </x:c>
    </x:row>
    <x:row r="130" ht="52" customHeight="1">
      <x:c r="A130" s="27" t="str">
        <x:v>WEB-BCAST-01</x:v>
      </x:c>
      <x:c r="B130" s="27" t="str">
        <x:v>Safety advisories</x:v>
      </x:c>
      <x:c r="C130" s="27" t="str">
        <x:v>MDRRMO admin</x:v>
      </x:c>
      <x:c r="D130" s="26" t="str">
        <x:v>Publish a categorized safety advisory</x:v>
      </x:c>
      <x:c r="E130" s="26" t="str">
        <x:v>The admin is signed in and public feed is available.</x:v>
      </x:c>
      <x:c r="F130" s="26" t="str">
        <x:v>1. Open Alert Broadcasts and create a post.
2. Select category and enter text/links.
3. Attach media if applicable and publish.</x:v>
      </x:c>
      <x:c r="G130" s="26" t="str">
        <x:v>Test category, advisory text, optional image/link</x:v>
      </x:c>
      <x:c r="H130" s="26" t="str">
        <x:v>Alert is published with correct category, text, and media/links in public views.</x:v>
      </x:c>
      <x:c r="I130" s="28" t="str"/>
      <x:c r="J130" s="29" t="str">
        <x:v>Not Executed</x:v>
      </x:c>
    </x:row>
    <x:row r="131" ht="52" customHeight="1">
      <x:c r="A131" s="30" t="str">
        <x:v>WEB-BCAST-02</x:v>
      </x:c>
      <x:c r="B131" s="30" t="str">
        <x:v>Safety advisories</x:v>
      </x:c>
      <x:c r="C131" s="30" t="str">
        <x:v>MDRRMO admin</x:v>
      </x:c>
      <x:c r="D131" s="31" t="str">
        <x:v>Pin or unpin an advisory</x:v>
      </x:c>
      <x:c r="E131" s="31" t="str">
        <x:v>A published test advisory exists.</x:v>
      </x:c>
      <x:c r="F131" s="31" t="str">
        <x:v>1. Pin the advisory.
2. Confirm it appears pinned.
3. Unpin and refresh.</x:v>
      </x:c>
      <x:c r="G131" s="31" t="str">
        <x:v>Published test advisory</x:v>
      </x:c>
      <x:c r="H131" s="31" t="str">
        <x:v>Pin state persists and the post returns to normal ordering when unpinned.</x:v>
      </x:c>
      <x:c r="I131" s="28" t="str"/>
      <x:c r="J131" s="29" t="str">
        <x:v>Not Executed</x:v>
      </x:c>
    </x:row>
    <x:row r="132" ht="52" customHeight="1">
      <x:c r="A132" s="27" t="str">
        <x:v>WEB-BCAST-03</x:v>
      </x:c>
      <x:c r="B132" s="27" t="str">
        <x:v>Safety advisories</x:v>
      </x:c>
      <x:c r="C132" s="27" t="str">
        <x:v>MDRRMO admin</x:v>
      </x:c>
      <x:c r="D132" s="26" t="str">
        <x:v>Edit advisory and preserve existing media</x:v>
      </x:c>
      <x:c r="E132" s="26" t="str">
        <x:v>A published advisory with attachment exists.</x:v>
      </x:c>
      <x:c r="F132" s="26" t="str">
        <x:v>1. Edit text or category.
2. Save without removing the attachment.
3. Reopen the advisory.</x:v>
      </x:c>
      <x:c r="G132" s="26" t="str">
        <x:v>Published post with image/video</x:v>
      </x:c>
      <x:c r="H132" s="26" t="str">
        <x:v>Changed content is saved and existing media remains associated.</x:v>
      </x:c>
      <x:c r="I132" s="28" t="str"/>
      <x:c r="J132" s="29" t="str">
        <x:v>Not Executed</x:v>
      </x:c>
    </x:row>
    <x:row r="133" ht="52" customHeight="1">
      <x:c r="A133" s="30" t="str">
        <x:v>WEB-BCAST-04</x:v>
      </x:c>
      <x:c r="B133" s="30" t="str">
        <x:v>Safety advisories</x:v>
      </x:c>
      <x:c r="C133" s="30" t="str">
        <x:v>MDRRMO admin</x:v>
      </x:c>
      <x:c r="D133" s="31" t="str">
        <x:v>Delete a disposable advisory</x:v>
      </x:c>
      <x:c r="E133" s="31" t="str">
        <x:v>A test advisory exists.</x:v>
      </x:c>
      <x:c r="F133" s="31" t="str">
        <x:v>1. Choose Delete.
2. Confirm.
3. Check public feed and dashboard list.</x:v>
      </x:c>
      <x:c r="G133" s="31" t="str">
        <x:v>Disposable test post</x:v>
      </x:c>
      <x:c r="H133" s="31" t="str">
        <x:v>The post is removed from active views and unrelated posts remain.</x:v>
      </x:c>
      <x:c r="I133" s="28" t="str"/>
      <x:c r="J133" s="29" t="str">
        <x:v>Not Executed</x:v>
      </x:c>
    </x:row>
    <x:row r="134" ht="52" customHeight="1">
      <x:c r="A134" s="27" t="str">
        <x:v>WEB-REQ-01</x:v>
      </x:c>
      <x:c r="B134" s="27" t="str">
        <x:v>Resource requests</x:v>
      </x:c>
      <x:c r="C134" s="27" t="str">
        <x:v>MDRRMO dispatcher</x:v>
      </x:c>
      <x:c r="D134" s="26" t="str">
        <x:v>Review incoming resource requests</x:v>
      </x:c>
      <x:c r="E134" s="26" t="str">
        <x:v>A responder request and goods request exist.</x:v>
      </x:c>
      <x:c r="F134" s="26" t="str">
        <x:v>1. Open Resource Requests.
2. Review requester, incident, type, subtype, and justification.
3. Filter or select each request.</x:v>
      </x:c>
      <x:c r="G134" s="26" t="str">
        <x:v>Responder and goods test requests</x:v>
      </x:c>
      <x:c r="H134" s="26" t="str">
        <x:v>Queue details match submissions and available filters select the correct records.</x:v>
      </x:c>
      <x:c r="I134" s="28" t="str"/>
      <x:c r="J134" s="29" t="str">
        <x:v>Not Executed</x:v>
      </x:c>
    </x:row>
    <x:row r="135" ht="52" customHeight="1">
      <x:c r="A135" s="30" t="str">
        <x:v>WEB-REQ-02</x:v>
      </x:c>
      <x:c r="B135" s="30" t="str">
        <x:v>Resource requests</x:v>
      </x:c>
      <x:c r="C135" s="30" t="str">
        <x:v>MDRRMO dispatcher</x:v>
      </x:c>
      <x:c r="D135" s="31" t="str">
        <x:v>Approve or reject a resource request</x:v>
      </x:c>
      <x:c r="E135" s="31" t="str">
        <x:v>A pending request is available.</x:v>
      </x:c>
      <x:c r="F135" s="31" t="str">
        <x:v>1. Open the request.
2. Approve or reject with required decision details.
3. Check requester status.</x:v>
      </x:c>
      <x:c r="G135" s="31" t="str">
        <x:v>Pending request and decision note</x:v>
      </x:c>
      <x:c r="H135" s="31" t="str">
        <x:v>The decision saves once and the responder sees the result.</x:v>
      </x:c>
      <x:c r="I135" s="28" t="str"/>
      <x:c r="J135" s="29" t="str">
        <x:v>Not Executed</x:v>
      </x:c>
    </x:row>
    <x:row r="136" ht="52" customHeight="1">
      <x:c r="A136" s="27" t="str">
        <x:v>WEB-REQ-03</x:v>
      </x:c>
      <x:c r="B136" s="27" t="str">
        <x:v>Resource requests</x:v>
      </x:c>
      <x:c r="C136" s="27" t="str">
        <x:v>MDRRMO dispatcher</x:v>
      </x:c>
      <x:c r="D136" s="26" t="str">
        <x:v>Update a request status</x:v>
      </x:c>
      <x:c r="E136" s="26" t="str">
        <x:v>A request is approved or in progress.</x:v>
      </x:c>
      <x:c r="F136" s="26" t="str">
        <x:v>1. Open the status control.
2. Select an available next status.
3. Save and refresh.</x:v>
      </x:c>
      <x:c r="G136" s="26" t="str">
        <x:v>Approved request and valid next status</x:v>
      </x:c>
      <x:c r="H136" s="26" t="str">
        <x:v>The status transition persists and is visible in queue and requester view.</x:v>
      </x:c>
      <x:c r="I136" s="28" t="str"/>
      <x:c r="J136" s="29" t="str">
        <x:v>Not Executed</x:v>
      </x:c>
    </x:row>
    <x:row r="137" ht="65" customHeight="1">
      <x:c r="A137" s="30" t="str">
        <x:v>WEB-OFF-01</x:v>
      </x:c>
      <x:c r="B137" s="30" t="str">
        <x:v>Officer management</x:v>
      </x:c>
      <x:c r="C137" s="30" t="str">
        <x:v>MDRRMO admin</x:v>
      </x:c>
      <x:c r="D137" s="31" t="str">
        <x:v>Add an officer record</x:v>
      </x:c>
      <x:c r="E137" s="31" t="str">
        <x:v>The identifier is unique and the admin is signed in.</x:v>
      </x:c>
      <x:c r="F137" s="31" t="str">
        <x:v>1. Open Officers.
2. Select Add Officer.
3. Enter name, contact, specialization, and status.
4. Save.</x:v>
      </x:c>
      <x:c r="G137" s="31" t="str">
        <x:v>Unique test officer details</x:v>
      </x:c>
      <x:c r="H137" s="31" t="str">
        <x:v>The officer appears with the selected specialization and status.</x:v>
      </x:c>
      <x:c r="I137" s="28" t="str"/>
      <x:c r="J137" s="29" t="str">
        <x:v>Not Executed</x:v>
      </x:c>
    </x:row>
    <x:row r="138" ht="52" customHeight="1">
      <x:c r="A138" s="27" t="str">
        <x:v>WEB-OFF-02</x:v>
      </x:c>
      <x:c r="B138" s="27" t="str">
        <x:v>Officer management</x:v>
      </x:c>
      <x:c r="C138" s="27" t="str">
        <x:v>MDRRMO admin</x:v>
      </x:c>
      <x:c r="D138" s="26" t="str">
        <x:v>Edit officer details and status</x:v>
      </x:c>
      <x:c r="E138" s="26" t="str">
        <x:v>An officer record exists.</x:v>
      </x:c>
      <x:c r="F138" s="26" t="str">
        <x:v>1. Open Edit for the officer.
2. Change contact, rank/specialization, or status.
3. Save and reopen.</x:v>
      </x:c>
      <x:c r="G138" s="26" t="str">
        <x:v>Existing officer and revised details</x:v>
      </x:c>
      <x:c r="H138" s="26" t="str">
        <x:v>Updated officer information persists.</x:v>
      </x:c>
      <x:c r="I138" s="28" t="str"/>
      <x:c r="J138" s="29" t="str">
        <x:v>Not Executed</x:v>
      </x:c>
    </x:row>
    <x:row r="139" ht="52" customHeight="1">
      <x:c r="A139" s="30" t="str">
        <x:v>WEB-OFF-03</x:v>
      </x:c>
      <x:c r="B139" s="30" t="str">
        <x:v>Officer management</x:v>
      </x:c>
      <x:c r="C139" s="30" t="str">
        <x:v>MDRRMO admin</x:v>
      </x:c>
      <x:c r="D139" s="31" t="str">
        <x:v>Remove an unused test officer</x:v>
      </x:c>
      <x:c r="E139" s="31" t="str">
        <x:v>A disposable officer is not assigned to an active unit/dispatch.</x:v>
      </x:c>
      <x:c r="F139" s="31" t="str">
        <x:v>1. Choose Delete.
2. Confirm if prompted.
3. Refresh the list.</x:v>
      </x:c>
      <x:c r="G139" s="31" t="str">
        <x:v>Disposable unassigned officer</x:v>
      </x:c>
      <x:c r="H139" s="31" t="str">
        <x:v>The selected officer is removed or archived; unrelated records remain unchanged.</x:v>
      </x:c>
      <x:c r="I139" s="28" t="str"/>
      <x:c r="J139" s="29" t="str">
        <x:v>Not Executed</x:v>
      </x:c>
    </x:row>
    <x:row r="140" ht="52" customHeight="1">
      <x:c r="A140" s="27" t="str">
        <x:v>WEB-AN-01</x:v>
      </x:c>
      <x:c r="B140" s="27" t="str">
        <x:v>Analytics</x:v>
      </x:c>
      <x:c r="C140" s="27" t="str">
        <x:v>MDRRMO admin</x:v>
      </x:c>
      <x:c r="D140" s="26" t="str">
        <x:v>Review incident and response analytics</x:v>
      </x:c>
      <x:c r="E140" s="26" t="str">
        <x:v>Reports exist across dates, barangays, and statuses.</x:v>
      </x:c>
      <x:c r="F140" s="26" t="str">
        <x:v>1. Open Analytics.
2. Change available date/category/barangay filters.
3. Compare totals to selected test records.</x:v>
      </x:c>
      <x:c r="G140" s="26" t="str">
        <x:v>Known report counts across two dates or barangays</x:v>
      </x:c>
      <x:c r="H140" s="26" t="str">
        <x:v>Analytics match the selected scope and display readable summaries.</x:v>
      </x:c>
      <x:c r="I140" s="28" t="str"/>
      <x:c r="J140" s="29" t="str">
        <x:v>Not Executed</x:v>
      </x:c>
    </x:row>
    <x:row r="141" ht="52" customHeight="1">
      <x:c r="A141" s="30" t="str">
        <x:v>WEB-WX-01</x:v>
      </x:c>
      <x:c r="B141" s="30" t="str">
        <x:v>Weather monitoring</x:v>
      </x:c>
      <x:c r="C141" s="30" t="str">
        <x:v>MDRRMO user</x:v>
      </x:c>
      <x:c r="D141" s="31" t="str">
        <x:v>View weather and hydromet monitoring</x:v>
      </x:c>
      <x:c r="E141" s="31" t="str">
        <x:v>Weather service or cached data is configured.</x:v>
      </x:c>
      <x:c r="F141" s="31" t="str">
        <x:v>1. Open Weather Monitoring.
2. Refresh or wait for data.
3. Review weather, gauges, and unavailable-data state.</x:v>
      </x:c>
      <x:c r="G141" s="31" t="str">
        <x:v>Available forecast/gauge data or simulated outage</x:v>
      </x:c>
      <x:c r="H141" s="31" t="str">
        <x:v>Current data and timestamps display when available; failures show unavailable rather than false values.</x:v>
      </x:c>
      <x:c r="I141" s="28" t="str"/>
      <x:c r="J141" s="29" t="str">
        <x:v>Not Executed</x:v>
      </x:c>
    </x:row>
    <x:row r="142" ht="52" customHeight="1">
      <x:c r="A142" s="27" t="str">
        <x:v>WEB-BND-01</x:v>
      </x:c>
      <x:c r="B142" s="27" t="str">
        <x:v>Municipality boundary</x:v>
      </x:c>
      <x:c r="C142" s="27" t="str">
        <x:v>MDRRMO logistics staff</x:v>
      </x:c>
      <x:c r="D142" s="26" t="str">
        <x:v>Create and save the municipality boundary</x:v>
      </x:c>
      <x:c r="E142" s="26" t="str">
        <x:v>The user has logistics permission and map is available.</x:v>
      </x:c>
      <x:c r="F142" s="26" t="str">
        <x:v>1. Open Municipality Boundary.
2. Draw a polygon with at least three points.
3. Save the boundary.</x:v>
      </x:c>
      <x:c r="G142" s="26" t="str">
        <x:v>Valid test polygon within municipality</x:v>
      </x:c>
      <x:c r="H142" s="26" t="str">
        <x:v>The polygon saves and is shown again on the map.</x:v>
      </x:c>
      <x:c r="I142" s="28" t="str"/>
      <x:c r="J142" s="29" t="str">
        <x:v>Not Executed</x:v>
      </x:c>
    </x:row>
    <x:row r="143" ht="52" customHeight="1">
      <x:c r="A143" s="30" t="str">
        <x:v>WEB-BND-02</x:v>
      </x:c>
      <x:c r="B143" s="30" t="str">
        <x:v>Municipality boundary</x:v>
      </x:c>
      <x:c r="C143" s="30" t="str">
        <x:v>MDRRMO logistics staff</x:v>
      </x:c>
      <x:c r="D143" s="31" t="str">
        <x:v>Reject invalid boundary and toggle boundary use</x:v>
      </x:c>
      <x:c r="E143" s="31" t="str">
        <x:v>The boundary editor is open.</x:v>
      </x:c>
      <x:c r="F143" s="31" t="str">
        <x:v>1. Try saving fewer than three points.
2. Create a valid polygon and enable/disable it.
3. Review map and location checks.</x:v>
      </x:c>
      <x:c r="G143" s="31" t="str">
        <x:v>Two-point polygon and valid polygon</x:v>
      </x:c>
      <x:c r="H143" s="31" t="str">
        <x:v>Invalid polygon is rejected; enabled state is saved and reflected in supported map/location checks.</x:v>
      </x:c>
      <x:c r="I143" s="28" t="str"/>
      <x:c r="J143" s="29" t="str">
        <x:v>Not Executed</x:v>
      </x:c>
    </x:row>
    <x:row r="144" ht="52" customHeight="1">
      <x:c r="A144" s="27" t="str">
        <x:v>WEB-BND-03</x:v>
      </x:c>
      <x:c r="B144" s="27" t="str">
        <x:v>Municipality boundary</x:v>
      </x:c>
      <x:c r="C144" s="27" t="str">
        <x:v>MDRRMO logistics staff</x:v>
      </x:c>
      <x:c r="D144" s="26" t="str">
        <x:v>Review and restore boundary history</x:v>
      </x:c>
      <x:c r="E144" s="26" t="str">
        <x:v>At least two revisions exist.</x:v>
      </x:c>
      <x:c r="F144" s="26" t="str">
        <x:v>1. Open boundary history.
2. Select an older revision.
3. Restore it and confirm current boundary.</x:v>
      </x:c>
      <x:c r="G144" s="26" t="str">
        <x:v>Two saved boundary revisions</x:v>
      </x:c>
      <x:c r="H144" s="26" t="str">
        <x:v>The revision becomes current and history remains traceable.</x:v>
      </x:c>
      <x:c r="I144" s="28" t="str"/>
      <x:c r="J144" s="29" t="str">
        <x:v>Not Executed</x:v>
      </x:c>
    </x:row>
    <x:row r="145" ht="52" customHeight="1">
      <x:c r="A145" s="30" t="str">
        <x:v>WEB-BND-04</x:v>
      </x:c>
      <x:c r="B145" s="30" t="str">
        <x:v>Municipality boundary</x:v>
      </x:c>
      <x:c r="C145" s="30" t="str">
        <x:v>MDRRMO logistics staff</x:v>
      </x:c>
      <x:c r="D145" s="31" t="str">
        <x:v>Delete a non-current boundary revision</x:v>
      </x:c>
      <x:c r="E145" s="31" t="str">
        <x:v>A disposable older revision exists.</x:v>
      </x:c>
      <x:c r="F145" s="31" t="str">
        <x:v>1. Select the old revision.
2. Choose Delete and confirm.
3. Refresh history.</x:v>
      </x:c>
      <x:c r="G145" s="31" t="str">
        <x:v>Disposable older revision</x:v>
      </x:c>
      <x:c r="H145" s="31" t="str">
        <x:v>Only the selected revision is deleted and current boundary remains unchanged.</x:v>
      </x:c>
      <x:c r="I145" s="28" t="str"/>
      <x:c r="J145" s="29" t="str">
        <x:v>Not Executed</x:v>
      </x:c>
    </x:row>
  </x:sheetData>
  <x:conditionalFormatting sqref="J8:J145">
    <x:cfRule type="containsText" dxfId="0" priority="1" operator="containsText" text="Pass"/>
    <x:cfRule type="containsText" dxfId="1" priority="2" operator="containsText" text="Fail"/>
    <x:cfRule type="containsText" dxfId="2" priority="3" operator="containsText" text="Blocked"/>
    <x:cfRule type="containsText" dxfId="3" priority="4" operator="containsText" text="Not Executed"/>
  </x:conditionalFormatting>
  <x:dataValidations count="1">
    <x:dataValidation type="list" sqref="J8:J145">
      <x:formula1>"Pass,Fail,Blocked,Not Executed"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3" hidden="0" customWidth="1"/>
    <x:col min="2" max="2" width="42" hidden="0" customWidth="1"/>
    <x:col min="3" max="3" width="100" hidden="0" customWidth="1"/>
  </x:cols>
  <x:sheetData>
    <x:row r="1">
      <x:c r="A1" s="33" t="str">
        <x:v>NorzAgapay Manual Test Guide</x:v>
      </x:c>
      <x:c r="B1" s="34"/>
      <x:c r="C1" s="34"/>
    </x:row>
    <x:row r="2">
      <x:c r="A2" s="1"/>
      <x:c r="B2" s="1"/>
      <x:c r="C2" s="1"/>
    </x:row>
    <x:row r="3" ht="28" customHeight="1">
      <x:c r="A3" s="40" t="str">
        <x:v>Section</x:v>
      </x:c>
      <x:c r="B3" s="40" t="str">
        <x:v>Checklist</x:v>
      </x:c>
      <x:c r="C3" s="40" t="str">
        <x:v>Execution notes</x:v>
      </x:c>
    </x:row>
    <x:row r="4" ht="32" customHeight="1">
      <x:c r="A4" s="42" t="str">
        <x:v>Before testing</x:v>
      </x:c>
      <x:c r="B4" s="41" t="str">
        <x:v>Enter tester, date, and environment</x:v>
      </x:c>
      <x:c r="C4" s="41" t="str">
        <x:v>Fill the yellow cells at the top of Manual Test Cases before recording results.</x:v>
      </x:c>
    </x:row>
    <x:row r="5" ht="46" customHeight="1">
      <x:c r="A5" s="43" t="str">
        <x:v>Before testing</x:v>
      </x:c>
      <x:c r="B5" s="43" t="str">
        <x:v>Use test accounts for each role</x:v>
      </x:c>
      <x:c r="C5" s="43" t="str">
        <x:v>Prepare resident, Barangay admin, dispatcher, responder/team leader, Barangay staff, MDRRMO admin/dispatcher, logistics staff, and responder accounts as applicable.</x:v>
      </x:c>
    </x:row>
    <x:row r="6" ht="32" customHeight="1">
      <x:c r="A6" s="41" t="str">
        <x:v>Before testing</x:v>
      </x:c>
      <x:c r="B6" s="41" t="str">
        <x:v>Prepare two barangays</x:v>
      </x:c>
      <x:c r="C6" s="41" t="str">
        <x:v>Use separate test barangays and reports so you can verify jurisdiction and record isolation.</x:v>
      </x:c>
    </x:row>
    <x:row r="7" ht="46" customHeight="1">
      <x:c r="A7" s="43" t="str">
        <x:v>Before testing</x:v>
      </x:c>
      <x:c r="B7" s="43" t="str">
        <x:v>Prepare response unit rosters</x:v>
      </x:c>
      <x:c r="C7" s="43" t="str">
        <x:v>For dispatch cases, create a roster-ready unit with a team leader, radio operator, at least one driver responder, and at least one first aider. Include a unit not active today.</x:v>
      </x:c>
    </x:row>
    <x:row r="8" ht="46" customHeight="1">
      <x:c r="A8" s="41" t="str">
        <x:v>Before testing</x:v>
      </x:c>
      <x:c r="B8" s="41" t="str">
        <x:v>Prepare test contacts</x:v>
      </x:c>
      <x:c r="C8" s="41" t="str">
        <x:v>Use email and mobile numbers that can receive registration and password-reset OTPs; use the test environment's configured delivery services.</x:v>
      </x:c>
    </x:row>
    <x:row r="9" ht="46" customHeight="1">
      <x:c r="A9" s="43" t="str">
        <x:v>Before testing</x:v>
      </x:c>
      <x:c r="B9" s="43" t="str">
        <x:v>Prepare devices and services</x:v>
      </x:c>
      <x:c r="C9" s="43" t="str">
        <x:v>Check backend, database, storage, real-time updates, maps, GPS, camera/gallery, and push notification setup for the workflows being run.</x:v>
      </x:c>
    </x:row>
    <x:row r="10" ht="32" customHeight="1">
      <x:c r="A10" s="42" t="str">
        <x:v>Run a case</x:v>
      </x:c>
      <x:c r="B10" s="41" t="str">
        <x:v>Follow the listed steps in order</x:v>
      </x:c>
      <x:c r="C10" s="41" t="str">
        <x:v>Use the test data or a safe test equivalent. Start each case from its stated precondition.</x:v>
      </x:c>
    </x:row>
    <x:row r="11" ht="32" customHeight="1">
      <x:c r="A11" s="43" t="str">
        <x:v>Run a case</x:v>
      </x:c>
      <x:c r="B11" s="43" t="str">
        <x:v>Record what actually happened</x:v>
      </x:c>
      <x:c r="C11" s="43" t="str">
        <x:v>Enter the observed result, screenshot/file name, and defect reference in Actual Result / Notes.</x:v>
      </x:c>
    </x:row>
    <x:row r="12" ht="46" customHeight="1">
      <x:c r="A12" s="41" t="str">
        <x:v>Run a case</x:v>
      </x:c>
      <x:c r="B12" s="41" t="str">
        <x:v>Set the status</x:v>
      </x:c>
      <x:c r="C12" s="41" t="str">
        <x:v>Choose Pass, Fail, Blocked, or Not Executed. Do not mark a case passed unless the expected result occurred.</x:v>
      </x:c>
    </x:row>
    <x:row r="13" ht="46" customHeight="1">
      <x:c r="A13" s="43" t="str">
        <x:v>Run a case</x:v>
      </x:c>
      <x:c r="B13" s="43" t="str">
        <x:v>Use the summary</x:v>
      </x:c>
      <x:c r="C13" s="43" t="str">
        <x:v>Total, Pass, Fail, Blocked, Not Executed, and pass rate update from Status. Pass rate is Pass divided by Pass plus Fail; blocked and unexecuted cases are excluded.</x:v>
      </x:c>
    </x:row>
    <x:row r="14" ht="46" customHeight="1">
      <x:c r="A14" s="42" t="str">
        <x:v>Role coverage</x:v>
      </x:c>
      <x:c r="B14" s="41" t="str">
        <x:v>Resident app</x:v>
      </x:c>
      <x:c r="C14" s="41" t="str">
        <x:v>Registration and OTP, login/recovery, profile, emergency/community reports, geolocation, evidence, offline drafts, tracking, advisories, weather, evacuation centers, and hotlines.</x:v>
      </x:c>
    </x:row>
    <x:row r="15" ht="46" customHeight="1">
      <x:c r="A15" s="43" t="str">
        <x:v>Role coverage</x:v>
      </x:c>
      <x:c r="B15" s="43" t="str">
        <x:v>Barangay mobile workspace</x:v>
      </x:c>
      <x:c r="C15" s="43" t="str">
        <x:v>Barangay access, admin-only team management, reports, dispatch/escalation, responder updates, assistance requests, broadcasts, hotlines, centers, analytics, and resolution documents.</x:v>
      </x:c>
    </x:row>
    <x:row r="16" ht="46" customHeight="1">
      <x:c r="A16" s="41" t="str">
        <x:v>Role coverage</x:v>
      </x:c>
      <x:c r="B16" s="41" t="str">
        <x:v>MDRRMO responder mobile</x:v>
      </x:c>
      <x:c r="C16" s="41" t="str">
        <x:v>Responder login/recovery, assigned tasks, crew selection, GPS arrival, status, field assessment/media, resource requests, resolution, profile, and sign-out.</x:v>
      </x:c>
    </x:row>
    <x:row r="17" ht="46" customHeight="1">
      <x:c r="A17" s="43" t="str">
        <x:v>Role coverage</x:v>
      </x:c>
      <x:c r="B17" s="43" t="str">
        <x:v>MDRRMO web dashboard</x:v>
      </x:c>
      <x:c r="C17" s="43" t="str">
        <x:v>Command map, reports, dispatch/escalation, verification, users, response-unit roster/daily activation, evacuation centers, advisories, requests, officers, analytics, weather, and boundary.</x:v>
      </x:c>
    </x:row>
    <x:row r="18" ht="32" customHeight="1">
      <x:c r="A18" s="42" t="str">
        <x:v>Status meaning</x:v>
      </x:c>
      <x:c r="B18" s="41" t="str">
        <x:v>Pass</x:v>
      </x:c>
      <x:c r="C18" s="41" t="str">
        <x:v>The expected result occurred for the executed case.</x:v>
      </x:c>
    </x:row>
    <x:row r="19" ht="32" customHeight="1">
      <x:c r="A19" s="43" t="str">
        <x:v>Status meaning</x:v>
      </x:c>
      <x:c r="B19" s="43" t="str">
        <x:v>Fail</x:v>
      </x:c>
      <x:c r="C19" s="43" t="str">
        <x:v>The observed result differed from expected; record evidence and a defect reference.</x:v>
      </x:c>
    </x:row>
    <x:row r="20" ht="32" customHeight="1">
      <x:c r="A20" s="41" t="str">
        <x:v>Status meaning</x:v>
      </x:c>
      <x:c r="B20" s="41" t="str">
        <x:v>Blocked</x:v>
      </x:c>
      <x:c r="C20" s="41" t="str">
        <x:v>An account, service, permission, or other dependency prevented execution; record what was missing.</x:v>
      </x:c>
    </x:row>
    <x:row r="21" ht="32" customHeight="1">
      <x:c r="A21" s="43" t="str">
        <x:v>Status meaning</x:v>
      </x:c>
      <x:c r="B21" s="43" t="str">
        <x:v>Not Executed</x:v>
      </x:c>
      <x:c r="C21" s="43" t="str">
        <x:v>The case has not been run yet. All cases start in this state.</x:v>
      </x:c>
    </x:row>
  </x:sheetData>
  <x:pageMargins left="0.7" right="0.7" top="0.75" bottom="0.75" header="0.3" footer="0.3"/>
</x:worksheet>
</file>